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UTMB Events 2026" sheetId="1" state="visible" r:id="rId3"/>
    <sheet name="Race Schedule &amp; Stones" sheetId="2" state="visible" r:id="rId4"/>
    <sheet name="CCC Lottery Odds" sheetId="3" state="visible" r:id="rId5"/>
    <sheet name="Strategy Guide" sheetId="4" state="visible" r:id="rId6"/>
    <sheet name="How UTMB Qualification Wor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<sst xmlns="http://schemas.openxmlformats.org/spreadsheetml/2006/main" count="1047" uniqueCount="521">
  <si>
    <t xml:space="preserve">UTMB WORLD SERIES 2026 — KATHLEEN'S CCC QUALIFICATION PLANNER</t>
  </si>
  <si>
    <t xml:space="preserve">Target: CCC (100K) at UTMB Mont-Blanc 2027  |  Requires: Valid UTMB Index (50K/100K/100M) + Running Stones (aim for 6-8)  |  Mark 'Y' in column A to select races</t>
  </si>
  <si>
    <t xml:space="preserve">Select
(Y/N)</t>
  </si>
  <si>
    <t xml:space="preserve">Event Name</t>
  </si>
  <si>
    <t xml:space="preserve">Type</t>
  </si>
  <si>
    <t xml:space="preserve">Continent</t>
  </si>
  <si>
    <t xml:space="preserve">Country</t>
  </si>
  <si>
    <t xml:space="preserve">City / Region</t>
  </si>
  <si>
    <t xml:space="preserve">Dates (2026)</t>
  </si>
  <si>
    <t xml:space="preserve">Distances
Available</t>
  </si>
  <si>
    <t xml:space="preserve">Best CCC
Category</t>
  </si>
  <si>
    <t xml:space="preserve">Stones
(Best for CCC)</t>
  </si>
  <si>
    <t xml:space="preserve">Provides
100K Index?</t>
  </si>
  <si>
    <t xml:space="preserve">Distance from
Logan (mi)</t>
  </si>
  <si>
    <t xml:space="preserve">Est. Travel
Cost ($)</t>
  </si>
  <si>
    <t xml:space="preserve">Race Entry
Est. ($)</t>
  </si>
  <si>
    <t xml:space="preserve">Website</t>
  </si>
  <si>
    <t xml:space="preserve">Notes</t>
  </si>
  <si>
    <t xml:space="preserve">Desert RATS</t>
  </si>
  <si>
    <t xml:space="preserve">Event</t>
  </si>
  <si>
    <t xml:space="preserve">North America</t>
  </si>
  <si>
    <t xml:space="preserve">USA</t>
  </si>
  <si>
    <t xml:space="preserve">Fruita, CO</t>
  </si>
  <si>
    <t xml:space="preserve">Apr 9-12</t>
  </si>
  <si>
    <t xml:space="preserve">50K, 100K, 100M</t>
  </si>
  <si>
    <t xml:space="preserve">100K</t>
  </si>
  <si>
    <t xml:space="preserve">Yes</t>
  </si>
  <si>
    <t xml:space="preserve">~$150-400</t>
  </si>
  <si>
    <t xml:space="preserve">$100-250</t>
  </si>
  <si>
    <t xml:space="preserve">desertrats.utmb.world</t>
  </si>
  <si>
    <t xml:space="preserve">Puerto Vallarta</t>
  </si>
  <si>
    <t xml:space="preserve">Mexico</t>
  </si>
  <si>
    <t xml:space="preserve">Apr 16-18</t>
  </si>
  <si>
    <t xml:space="preserve">20K, 50K</t>
  </si>
  <si>
    <t xml:space="preserve">50K</t>
  </si>
  <si>
    <t xml:space="preserve">~$400-800</t>
  </si>
  <si>
    <t xml:space="preserve">puertovallarta.utmb.world</t>
  </si>
  <si>
    <t xml:space="preserve">Beach &amp; jungle trails</t>
  </si>
  <si>
    <t xml:space="preserve">Canyons Endurance Runs</t>
  </si>
  <si>
    <t xml:space="preserve">Auburn, CA</t>
  </si>
  <si>
    <t xml:space="preserve">Apr 23-25</t>
  </si>
  <si>
    <t xml:space="preserve">20K, 50K, 100K, 100M</t>
  </si>
  <si>
    <t xml:space="preserve">canyons.utmb.world</t>
  </si>
  <si>
    <t xml:space="preserve">Also Western States qualifier</t>
  </si>
  <si>
    <t xml:space="preserve">Rothrock</t>
  </si>
  <si>
    <t xml:space="preserve">State College, PA</t>
  </si>
  <si>
    <t xml:space="preserve">May 15-17</t>
  </si>
  <si>
    <t xml:space="preserve">rothrock.utmb.world</t>
  </si>
  <si>
    <t xml:space="preserve">New for 2026</t>
  </si>
  <si>
    <t xml:space="preserve">Western States Endurance Run</t>
  </si>
  <si>
    <t xml:space="preserve">Jun 27-28</t>
  </si>
  <si>
    <t xml:space="preserve">100M</t>
  </si>
  <si>
    <t xml:space="preserve">wser.org</t>
  </si>
  <si>
    <t xml:space="preserve">Iconic 100-miler; own lottery required</t>
  </si>
  <si>
    <t xml:space="preserve">Speedgoat Mountain Races</t>
  </si>
  <si>
    <t xml:space="preserve">Snowbird, UT</t>
  </si>
  <si>
    <t xml:space="preserve">Jul 23-25</t>
  </si>
  <si>
    <t xml:space="preserve">~$50-150</t>
  </si>
  <si>
    <t xml:space="preserve">speedgoat.utmb.world</t>
  </si>
  <si>
    <t xml:space="preserve">Wasatch Mountains; close to Logan!</t>
  </si>
  <si>
    <t xml:space="preserve">Pacific Trails California</t>
  </si>
  <si>
    <t xml:space="preserve">California</t>
  </si>
  <si>
    <t xml:space="preserve">Aug 14-16</t>
  </si>
  <si>
    <t xml:space="preserve">50K, 100K</t>
  </si>
  <si>
    <t xml:space="preserve">pacifictrails.utmb.world</t>
  </si>
  <si>
    <t xml:space="preserve">Boréalys Mont-Tremblant</t>
  </si>
  <si>
    <t xml:space="preserve">Canada</t>
  </si>
  <si>
    <t xml:space="preserve">Mont-Tremblant, QC</t>
  </si>
  <si>
    <t xml:space="preserve">Aug 21-23</t>
  </si>
  <si>
    <t xml:space="preserve">20K, 50K, 100K</t>
  </si>
  <si>
    <t xml:space="preserve">borealys.utmb.world</t>
  </si>
  <si>
    <t xml:space="preserve">Laurentian Mountains</t>
  </si>
  <si>
    <t xml:space="preserve">Snowbasin</t>
  </si>
  <si>
    <t xml:space="preserve">Ogden, UT</t>
  </si>
  <si>
    <t xml:space="preserve">Sep 10-12</t>
  </si>
  <si>
    <t xml:space="preserve">snowbasin.utmb.world</t>
  </si>
  <si>
    <t xml:space="preserve">NEW! Wasatch Range; ~1hr from Logan!</t>
  </si>
  <si>
    <t xml:space="preserve">Grindstone</t>
  </si>
  <si>
    <t xml:space="preserve">Swoope, VA</t>
  </si>
  <si>
    <t xml:space="preserve">Sep 17-20</t>
  </si>
  <si>
    <t xml:space="preserve">grindstone.utmb.world</t>
  </si>
  <si>
    <t xml:space="preserve">Appalachian Mountains</t>
  </si>
  <si>
    <t xml:space="preserve">Ultra Trail Whistler</t>
  </si>
  <si>
    <t xml:space="preserve">Whistler, BC</t>
  </si>
  <si>
    <t xml:space="preserve">Oct 1-3</t>
  </si>
  <si>
    <t xml:space="preserve">whistler.utmb.world</t>
  </si>
  <si>
    <t xml:space="preserve">Coast Mountains; beautiful terrain</t>
  </si>
  <si>
    <t xml:space="preserve">Kodiak Ultra Marathons</t>
  </si>
  <si>
    <t xml:space="preserve">Major</t>
  </si>
  <si>
    <t xml:space="preserve">Big Bear Lake, CA</t>
  </si>
  <si>
    <t xml:space="preserve">Oct 8-11</t>
  </si>
  <si>
    <t xml:space="preserve">$150-350</t>
  </si>
  <si>
    <t xml:space="preserve">kodiak.utmb.world</t>
  </si>
  <si>
    <t xml:space="preserve">2026 AMERICAS MAJOR - double stones!</t>
  </si>
  <si>
    <t xml:space="preserve">Chihuahua</t>
  </si>
  <si>
    <t xml:space="preserve">Nov 13-15</t>
  </si>
  <si>
    <t xml:space="preserve">chihuahua.utmb.world</t>
  </si>
  <si>
    <t xml:space="preserve">Copper Canyon region</t>
  </si>
  <si>
    <t xml:space="preserve">Quito Trail</t>
  </si>
  <si>
    <t xml:space="preserve">South America</t>
  </si>
  <si>
    <t xml:space="preserve">Ecuador</t>
  </si>
  <si>
    <t xml:space="preserve">Quito</t>
  </si>
  <si>
    <t xml:space="preserve">Mar 18-22</t>
  </si>
  <si>
    <t xml:space="preserve">~$800-1,500</t>
  </si>
  <si>
    <t xml:space="preserve">quito.utmb.world</t>
  </si>
  <si>
    <t xml:space="preserve">High altitude ~2,800m</t>
  </si>
  <si>
    <t xml:space="preserve">Torrencial Chile</t>
  </si>
  <si>
    <t xml:space="preserve">Chile</t>
  </si>
  <si>
    <t xml:space="preserve">Central Chile</t>
  </si>
  <si>
    <t xml:space="preserve">Jun 26-28</t>
  </si>
  <si>
    <t xml:space="preserve">~$1,500-3,000</t>
  </si>
  <si>
    <t xml:space="preserve">torrencial.utmb.world</t>
  </si>
  <si>
    <t xml:space="preserve">Winter racing in southern hemisphere</t>
  </si>
  <si>
    <t xml:space="preserve">Valhalla Argentina</t>
  </si>
  <si>
    <t xml:space="preserve">Argentina</t>
  </si>
  <si>
    <t xml:space="preserve">San Martin de los Andes</t>
  </si>
  <si>
    <t xml:space="preserve">Jul 31-Aug 2</t>
  </si>
  <si>
    <t xml:space="preserve">valhalla.utmb.world</t>
  </si>
  <si>
    <t xml:space="preserve">Patagonian Andes</t>
  </si>
  <si>
    <t xml:space="preserve">EcoTrail Monteverde</t>
  </si>
  <si>
    <t xml:space="preserve">Costa Rica</t>
  </si>
  <si>
    <t xml:space="preserve">Monteverde</t>
  </si>
  <si>
    <t xml:space="preserve">monteverde.utmb.world</t>
  </si>
  <si>
    <t xml:space="preserve">Cloud forest running</t>
  </si>
  <si>
    <t xml:space="preserve">Patagonia Bariloche</t>
  </si>
  <si>
    <t xml:space="preserve">Bariloche</t>
  </si>
  <si>
    <t xml:space="preserve">Nov 18-22</t>
  </si>
  <si>
    <t xml:space="preserve">bariloche.utmb.world</t>
  </si>
  <si>
    <t xml:space="preserve">Lake district of Patagonia</t>
  </si>
  <si>
    <t xml:space="preserve">Arc of Attrition</t>
  </si>
  <si>
    <t xml:space="preserve">Europe</t>
  </si>
  <si>
    <t xml:space="preserve">UK</t>
  </si>
  <si>
    <t xml:space="preserve">Cornwall</t>
  </si>
  <si>
    <t xml:space="preserve">Jan 22-25</t>
  </si>
  <si>
    <t xml:space="preserve">50K, 100M</t>
  </si>
  <si>
    <t xml:space="preserve">arcofattrition.utmb.world</t>
  </si>
  <si>
    <t xml:space="preserve">Coastal winter ultra; tough conditions</t>
  </si>
  <si>
    <t xml:space="preserve">Chianti Ultra Trail</t>
  </si>
  <si>
    <t xml:space="preserve">Italy</t>
  </si>
  <si>
    <t xml:space="preserve">Chianti, Tuscany</t>
  </si>
  <si>
    <t xml:space="preserve">Mar 19-22</t>
  </si>
  <si>
    <t xml:space="preserve">chianti.utmb.world</t>
  </si>
  <si>
    <t xml:space="preserve">Tuscan wine country trails</t>
  </si>
  <si>
    <t xml:space="preserve">Tenerife Bluetrail</t>
  </si>
  <si>
    <t xml:space="preserve">Spain</t>
  </si>
  <si>
    <t xml:space="preserve">Tenerife</t>
  </si>
  <si>
    <t xml:space="preserve">Mar 19-21</t>
  </si>
  <si>
    <t xml:space="preserve">tenerife.utmb.world</t>
  </si>
  <si>
    <t xml:space="preserve">Volcanic island; Teide ascent</t>
  </si>
  <si>
    <t xml:space="preserve">Mallorca by UTMB</t>
  </si>
  <si>
    <t xml:space="preserve">Mallorca</t>
  </si>
  <si>
    <t xml:space="preserve">mallorca.utmb.world</t>
  </si>
  <si>
    <t xml:space="preserve">Mediterranean island trails</t>
  </si>
  <si>
    <t xml:space="preserve">Grand Raid Ventoux</t>
  </si>
  <si>
    <t xml:space="preserve">France</t>
  </si>
  <si>
    <t xml:space="preserve">Mont Ventoux</t>
  </si>
  <si>
    <t xml:space="preserve">Apr 24-26</t>
  </si>
  <si>
    <t xml:space="preserve">ventoux.utmb.world</t>
  </si>
  <si>
    <t xml:space="preserve">Iconic Provençal mountain</t>
  </si>
  <si>
    <t xml:space="preserve">Istria 100</t>
  </si>
  <si>
    <t xml:space="preserve">Croatia</t>
  </si>
  <si>
    <t xml:space="preserve">Istria</t>
  </si>
  <si>
    <t xml:space="preserve">May 1-3</t>
  </si>
  <si>
    <t xml:space="preserve">istria.utmb.world</t>
  </si>
  <si>
    <t xml:space="preserve">Adriatic coast &amp; karst terrain</t>
  </si>
  <si>
    <t xml:space="preserve">Eiger Ultra Trail</t>
  </si>
  <si>
    <t xml:space="preserve">Switzerland</t>
  </si>
  <si>
    <t xml:space="preserve">Grindelwald</t>
  </si>
  <si>
    <t xml:space="preserve">May 14-17</t>
  </si>
  <si>
    <t xml:space="preserve">eiger.utmb.world</t>
  </si>
  <si>
    <t xml:space="preserve">Bernese Alps; iconic Eiger North Face</t>
  </si>
  <si>
    <t xml:space="preserve">Ultra-Trail Snowdonia</t>
  </si>
  <si>
    <t xml:space="preserve">Snowdonia</t>
  </si>
  <si>
    <t xml:space="preserve">snowdonia.utmb.world</t>
  </si>
  <si>
    <t xml:space="preserve">Welsh mountains</t>
  </si>
  <si>
    <t xml:space="preserve">Mozart 100</t>
  </si>
  <si>
    <t xml:space="preserve">Austria</t>
  </si>
  <si>
    <t xml:space="preserve">Salzburg</t>
  </si>
  <si>
    <t xml:space="preserve">May 23</t>
  </si>
  <si>
    <t xml:space="preserve">mozart100.utmb.world</t>
  </si>
  <si>
    <t xml:space="preserve">Alps around Salzburg</t>
  </si>
  <si>
    <t xml:space="preserve">Oh Meu Deus</t>
  </si>
  <si>
    <t xml:space="preserve">Portugal</t>
  </si>
  <si>
    <t xml:space="preserve">Jun 11-14</t>
  </si>
  <si>
    <t xml:space="preserve">ohmeudeus.utmb.world</t>
  </si>
  <si>
    <t xml:space="preserve">New Portuguese event</t>
  </si>
  <si>
    <t xml:space="preserve">Gauja Trail</t>
  </si>
  <si>
    <t xml:space="preserve">Latvia</t>
  </si>
  <si>
    <t xml:space="preserve">Gauja NP</t>
  </si>
  <si>
    <t xml:space="preserve">Jun 12-14</t>
  </si>
  <si>
    <t xml:space="preserve">gauja.utmb.world</t>
  </si>
  <si>
    <t xml:space="preserve">Latvian national park</t>
  </si>
  <si>
    <t xml:space="preserve">Wildstrubel</t>
  </si>
  <si>
    <t xml:space="preserve">Crans-Montana</t>
  </si>
  <si>
    <t xml:space="preserve">Jun 18-20</t>
  </si>
  <si>
    <t xml:space="preserve">wildstrubel.utmb.world</t>
  </si>
  <si>
    <t xml:space="preserve">Swiss Alps</t>
  </si>
  <si>
    <t xml:space="preserve">Lavaredo Ultra Trail</t>
  </si>
  <si>
    <t xml:space="preserve">Cortina d'Ampezzo</t>
  </si>
  <si>
    <t xml:space="preserve">Jun 24-28</t>
  </si>
  <si>
    <t xml:space="preserve">lavaredo.utmb.world</t>
  </si>
  <si>
    <t xml:space="preserve">Dolomites; stunning scenery</t>
  </si>
  <si>
    <t xml:space="preserve">Val d'Aran by UTMB</t>
  </si>
  <si>
    <t xml:space="preserve">Val d'Aran, Pyrenees</t>
  </si>
  <si>
    <t xml:space="preserve">Jul 1-5</t>
  </si>
  <si>
    <t xml:space="preserve">valdaran.utmb.world</t>
  </si>
  <si>
    <t xml:space="preserve">2026 EUROPE MAJOR - double stones!</t>
  </si>
  <si>
    <t xml:space="preserve">Nice Côte d'Azur</t>
  </si>
  <si>
    <t xml:space="preserve">Nice</t>
  </si>
  <si>
    <t xml:space="preserve">Jul 9-11</t>
  </si>
  <si>
    <t xml:space="preserve">nice.utmb.world</t>
  </si>
  <si>
    <t xml:space="preserve">French Riviera hinterland</t>
  </si>
  <si>
    <t xml:space="preserve">Bucovina Ultra Rocks</t>
  </si>
  <si>
    <t xml:space="preserve">Romania</t>
  </si>
  <si>
    <t xml:space="preserve">Bucovina</t>
  </si>
  <si>
    <t xml:space="preserve">Jul 10-12</t>
  </si>
  <si>
    <t xml:space="preserve">bucovina.utmb.world</t>
  </si>
  <si>
    <t xml:space="preserve">Carpathian Mountains</t>
  </si>
  <si>
    <t xml:space="preserve">Zugspitz Ultra Trail</t>
  </si>
  <si>
    <t xml:space="preserve">Germany</t>
  </si>
  <si>
    <t xml:space="preserve">Garmisch-Partenkirchen</t>
  </si>
  <si>
    <t xml:space="preserve">Jul 15-19</t>
  </si>
  <si>
    <t xml:space="preserve">zugspitz.utmb.world</t>
  </si>
  <si>
    <t xml:space="preserve">Germany's highest peak area</t>
  </si>
  <si>
    <t xml:space="preserve">Monte Rosa Walser Waeg</t>
  </si>
  <si>
    <t xml:space="preserve">Monte Rosa</t>
  </si>
  <si>
    <t xml:space="preserve">Jul 17-19</t>
  </si>
  <si>
    <t xml:space="preserve">monterosa.utmb.world</t>
  </si>
  <si>
    <t xml:space="preserve">Italian Alps</t>
  </si>
  <si>
    <t xml:space="preserve">Trail du Saint-Jacques</t>
  </si>
  <si>
    <t xml:space="preserve">Le Puy-en-Velay</t>
  </si>
  <si>
    <t xml:space="preserve">Jul 24-26</t>
  </si>
  <si>
    <t xml:space="preserve">saintjacques.utmb.world</t>
  </si>
  <si>
    <t xml:space="preserve">Camino de Santiago region</t>
  </si>
  <si>
    <t xml:space="preserve">Penyagolosa Trails</t>
  </si>
  <si>
    <t xml:space="preserve">Castellon</t>
  </si>
  <si>
    <t xml:space="preserve">Aug 1-2</t>
  </si>
  <si>
    <t xml:space="preserve">penyagolosa.utmb.world</t>
  </si>
  <si>
    <t xml:space="preserve">Eastern Spain mountains</t>
  </si>
  <si>
    <t xml:space="preserve">Ultra-Trail Cape Town</t>
  </si>
  <si>
    <t xml:space="preserve">South Africa</t>
  </si>
  <si>
    <t xml:space="preserve">Cape Town</t>
  </si>
  <si>
    <t xml:space="preserve">Aug 6-8</t>
  </si>
  <si>
    <t xml:space="preserve">capetown.utmb.world</t>
  </si>
  <si>
    <t xml:space="preserve">Table Mountain &amp; surrounds</t>
  </si>
  <si>
    <t xml:space="preserve">UTMB Mont-Blanc Finals</t>
  </si>
  <si>
    <t xml:space="preserve">Finals</t>
  </si>
  <si>
    <t xml:space="preserve">Chamonix</t>
  </si>
  <si>
    <t xml:space="preserve">Aug 24-30</t>
  </si>
  <si>
    <t xml:space="preserve">OCC(50K), CCC(100K), UTMB(100M)</t>
  </si>
  <si>
    <t xml:space="preserve">N/A</t>
  </si>
  <si>
    <t xml:space="preserve">GOAL RACE</t>
  </si>
  <si>
    <t xml:space="preserve">$300-500</t>
  </si>
  <si>
    <t xml:space="preserve">montblanc.utmb.world</t>
  </si>
  <si>
    <t xml:space="preserve">THE GOAL! CCC is Aug 29, 2027</t>
  </si>
  <si>
    <t xml:space="preserve">Kaçkar</t>
  </si>
  <si>
    <t xml:space="preserve">Turkey</t>
  </si>
  <si>
    <t xml:space="preserve">Kaçkar Mountains</t>
  </si>
  <si>
    <t xml:space="preserve">Sep 10-13</t>
  </si>
  <si>
    <t xml:space="preserve">kackar.utmb.world</t>
  </si>
  <si>
    <t xml:space="preserve">Eastern Turkey; remote mountains</t>
  </si>
  <si>
    <t xml:space="preserve">Ultra Pirineu</t>
  </si>
  <si>
    <t xml:space="preserve">Bagà, Catalonia</t>
  </si>
  <si>
    <t xml:space="preserve">Sep 11-13</t>
  </si>
  <si>
    <t xml:space="preserve">pirineu.utmb.world</t>
  </si>
  <si>
    <t xml:space="preserve">Cadí-Moixeró Natural Park</t>
  </si>
  <si>
    <t xml:space="preserve">Ultra-Trail Mogan</t>
  </si>
  <si>
    <t xml:space="preserve">Gran Canaria</t>
  </si>
  <si>
    <t xml:space="preserve">Sep 18-20</t>
  </si>
  <si>
    <t xml:space="preserve">mogan.utmb.world</t>
  </si>
  <si>
    <t xml:space="preserve">Canary Islands</t>
  </si>
  <si>
    <t xml:space="preserve">Cappadocia Ultra-Trail</t>
  </si>
  <si>
    <t xml:space="preserve">Cappadocia</t>
  </si>
  <si>
    <t xml:space="preserve">Sep 24-27</t>
  </si>
  <si>
    <t xml:space="preserve">cappadocia.utmb.world</t>
  </si>
  <si>
    <t xml:space="preserve">Fairy chimneys &amp; cave trails</t>
  </si>
  <si>
    <t xml:space="preserve">Puglia</t>
  </si>
  <si>
    <t xml:space="preserve">Oct 30-31</t>
  </si>
  <si>
    <t xml:space="preserve">puglia.utmb.world</t>
  </si>
  <si>
    <t xml:space="preserve">Southern Italian coast</t>
  </si>
  <si>
    <t xml:space="preserve">Trail Nice Côte d'Azur Oman</t>
  </si>
  <si>
    <t xml:space="preserve">Oman</t>
  </si>
  <si>
    <t xml:space="preserve">Hajar Mountains</t>
  </si>
  <si>
    <t xml:space="preserve">Oct 30-Nov 1</t>
  </si>
  <si>
    <t xml:space="preserve">oman.utmb.world</t>
  </si>
  <si>
    <t xml:space="preserve">Desert mountain running</t>
  </si>
  <si>
    <t xml:space="preserve">Ultra-Trail Xiamen</t>
  </si>
  <si>
    <t xml:space="preserve">Asia</t>
  </si>
  <si>
    <t xml:space="preserve">China</t>
  </si>
  <si>
    <t xml:space="preserve">Xiamen</t>
  </si>
  <si>
    <t xml:space="preserve">Mar 6-8</t>
  </si>
  <si>
    <t xml:space="preserve">xiamen.utmb.world</t>
  </si>
  <si>
    <t xml:space="preserve">Coastal Chinese city</t>
  </si>
  <si>
    <t xml:space="preserve">TransLantau</t>
  </si>
  <si>
    <t xml:space="preserve">Hong Kong</t>
  </si>
  <si>
    <t xml:space="preserve">Lantau Island</t>
  </si>
  <si>
    <t xml:space="preserve">Mar 14-15</t>
  </si>
  <si>
    <t xml:space="preserve">translantau.utmb.world</t>
  </si>
  <si>
    <t xml:space="preserve">Hong Kong island trails</t>
  </si>
  <si>
    <t xml:space="preserve">Mount Sun</t>
  </si>
  <si>
    <t xml:space="preserve">Emeishan</t>
  </si>
  <si>
    <t xml:space="preserve">Apr 10-12</t>
  </si>
  <si>
    <t xml:space="preserve">mountsun.utmb.world</t>
  </si>
  <si>
    <t xml:space="preserve">Sacred Buddhist mountain</t>
  </si>
  <si>
    <t xml:space="preserve">Chiang Mai Thailand</t>
  </si>
  <si>
    <t xml:space="preserve">Thailand</t>
  </si>
  <si>
    <t xml:space="preserve">Chiang Mai</t>
  </si>
  <si>
    <t xml:space="preserve">Apr 30-May 3</t>
  </si>
  <si>
    <t xml:space="preserve">chiangmai.utmb.world</t>
  </si>
  <si>
    <t xml:space="preserve">2026 ASIA-PACIFIC MAJOR - double stones!</t>
  </si>
  <si>
    <t xml:space="preserve">Ultra-Trail Great Wall</t>
  </si>
  <si>
    <t xml:space="preserve">Beijing</t>
  </si>
  <si>
    <t xml:space="preserve">greatwall.utmb.world</t>
  </si>
  <si>
    <t xml:space="preserve">Run along the Great Wall</t>
  </si>
  <si>
    <t xml:space="preserve">Kaga Spa Trail Endurance</t>
  </si>
  <si>
    <t xml:space="preserve">Japan</t>
  </si>
  <si>
    <t xml:space="preserve">Kaga, Ishikawa</t>
  </si>
  <si>
    <t xml:space="preserve">kagaspa.utmb.world</t>
  </si>
  <si>
    <t xml:space="preserve">Japanese hot spring region</t>
  </si>
  <si>
    <t xml:space="preserve">Ultra-Trail Tai Mo Shan</t>
  </si>
  <si>
    <t xml:space="preserve">New Territories</t>
  </si>
  <si>
    <t xml:space="preserve">Jun 18-21</t>
  </si>
  <si>
    <t xml:space="preserve">taimoshan.utmb.world</t>
  </si>
  <si>
    <t xml:space="preserve">Hong Kong's highest peak</t>
  </si>
  <si>
    <t xml:space="preserve">TransJeju</t>
  </si>
  <si>
    <t xml:space="preserve">South Korea</t>
  </si>
  <si>
    <t xml:space="preserve">Jeju Island</t>
  </si>
  <si>
    <t xml:space="preserve">transjeju.utmb.world</t>
  </si>
  <si>
    <t xml:space="preserve">Volcanic island; UNESCO site</t>
  </si>
  <si>
    <t xml:space="preserve">Trail of The Kings</t>
  </si>
  <si>
    <t xml:space="preserve">Indonesia</t>
  </si>
  <si>
    <t xml:space="preserve">trailofkings.utmb.world</t>
  </si>
  <si>
    <t xml:space="preserve">Tropical mountain trails</t>
  </si>
  <si>
    <t xml:space="preserve">Malaysia Ultra Trail</t>
  </si>
  <si>
    <t xml:space="preserve">Malaysia</t>
  </si>
  <si>
    <t xml:space="preserve">Oct 2-4</t>
  </si>
  <si>
    <t xml:space="preserve">malaysia.utmb.world</t>
  </si>
  <si>
    <t xml:space="preserve">Rainforest trails</t>
  </si>
  <si>
    <t xml:space="preserve">Amazean Jungle</t>
  </si>
  <si>
    <t xml:space="preserve">Chiang Rai</t>
  </si>
  <si>
    <t xml:space="preserve">Oct 16-18</t>
  </si>
  <si>
    <t xml:space="preserve">amazean.utmb.world</t>
  </si>
  <si>
    <t xml:space="preserve">Northern Thailand jungle</t>
  </si>
  <si>
    <t xml:space="preserve">Xtrail Kenting</t>
  </si>
  <si>
    <t xml:space="preserve">Taiwan</t>
  </si>
  <si>
    <t xml:space="preserve">Kenting</t>
  </si>
  <si>
    <t xml:space="preserve">Nov 6-8</t>
  </si>
  <si>
    <t xml:space="preserve">kenting.utmb.world</t>
  </si>
  <si>
    <t xml:space="preserve">Taiwan's tropical south</t>
  </si>
  <si>
    <t xml:space="preserve">Ultra-Trail Shudao</t>
  </si>
  <si>
    <t xml:space="preserve">Sichuan</t>
  </si>
  <si>
    <t xml:space="preserve">Dec 10-12</t>
  </si>
  <si>
    <t xml:space="preserve">shudao.utmb.world</t>
  </si>
  <si>
    <t xml:space="preserve">Sichuan province</t>
  </si>
  <si>
    <t xml:space="preserve">Ultra-Trail Australia</t>
  </si>
  <si>
    <t xml:space="preserve">Oceania</t>
  </si>
  <si>
    <t xml:space="preserve">Australia</t>
  </si>
  <si>
    <t xml:space="preserve">Blue Mountains, NSW</t>
  </si>
  <si>
    <t xml:space="preserve">uta.utmb.world</t>
  </si>
  <si>
    <t xml:space="preserve">2026 OCEANIA MAJOR - double stones!</t>
  </si>
  <si>
    <t xml:space="preserve">Ultra-Trail Kosciuszko</t>
  </si>
  <si>
    <t xml:space="preserve">Jindabyne, NSW</t>
  </si>
  <si>
    <t xml:space="preserve">Nov 26-28</t>
  </si>
  <si>
    <t xml:space="preserve">kosciuszko.utmb.world</t>
  </si>
  <si>
    <t xml:space="preserve">Snowy Mountains</t>
  </si>
  <si>
    <t xml:space="preserve">Tarawera Ultra-Trail</t>
  </si>
  <si>
    <t xml:space="preserve">New Zealand</t>
  </si>
  <si>
    <t xml:space="preserve">Rotorua</t>
  </si>
  <si>
    <t xml:space="preserve">Feb 13-14 (2027)</t>
  </si>
  <si>
    <t xml:space="preserve">tarawera.utmb.world</t>
  </si>
  <si>
    <t xml:space="preserve">Volcanic geothermal trails</t>
  </si>
  <si>
    <t xml:space="preserve">Ultra-Trail Drakensberg</t>
  </si>
  <si>
    <t xml:space="preserve">Africa</t>
  </si>
  <si>
    <t xml:space="preserve">KwaZulu-Natal</t>
  </si>
  <si>
    <t xml:space="preserve">May 29-31</t>
  </si>
  <si>
    <t xml:space="preserve">drakensberg.utmb.world</t>
  </si>
  <si>
    <t xml:space="preserve">Drakensberg Mountains</t>
  </si>
  <si>
    <t xml:space="preserve">KATHLEEN'S RACE SCHEDULE &amp; RUNNING STONES CALCULATOR</t>
  </si>
  <si>
    <t xml:space="preserve">This sheet auto-populates from your "Y" selections on the All Events tab. Review your schedule, check for conflicts, and see your stone accumulation below.</t>
  </si>
  <si>
    <t xml:space="preserve">#</t>
  </si>
  <si>
    <t xml:space="preserve">City</t>
  </si>
  <si>
    <t xml:space="preserve">Dates</t>
  </si>
  <si>
    <t xml:space="preserve">Category
Raced</t>
  </si>
  <si>
    <t xml:space="preserve">Stones
Earned</t>
  </si>
  <si>
    <t xml:space="preserve">Cumulative
Stones</t>
  </si>
  <si>
    <t xml:space="preserve">Valid CCC
Index?</t>
  </si>
  <si>
    <t xml:space="preserve">Distance
from Logan</t>
  </si>
  <si>
    <t xml:space="preserve">QUALIFICATION SUMMARY</t>
  </si>
  <si>
    <t xml:space="preserve">Total Running Stones Accumulated:</t>
  </si>
  <si>
    <t xml:space="preserve">Valid UTMB Index for CCC? (need 50K/100K/100M):</t>
  </si>
  <si>
    <t xml:space="preserve">Enter YES or NO</t>
  </si>
  <si>
    <t xml:space="preserve">At Least 1 Stone in Last 24 Months?:</t>
  </si>
  <si>
    <t xml:space="preserve">Eligible for CCC Lottery?:</t>
  </si>
  <si>
    <t xml:space="preserve">Both above must be YES + stones &gt; 0</t>
  </si>
  <si>
    <t xml:space="preserve">CCC (100K) LOTTERY PROBABILITY ESTIMATOR — UTMB 2027</t>
  </si>
  <si>
    <t xml:space="preserve">Based on 2025 lottery data: ~6,000 CCC applicants, ~1,200 lottery spots, avg selected runner = 5.7 stones, avg applicant = 4.4 stones</t>
  </si>
  <si>
    <t xml:space="preserve">LOTTERY ASSUMPTIONS (editable - blue = input)</t>
  </si>
  <si>
    <t xml:space="preserve">Total CCC Applicants (2027 est.):</t>
  </si>
  <si>
    <t xml:space="preserve">Growing ~20% YoY from 6,000 in 2025</t>
  </si>
  <si>
    <t xml:space="preserve">Lottery Spots Available:</t>
  </si>
  <si>
    <t xml:space="preserve">Approx. after elite/charity bibs removed</t>
  </si>
  <si>
    <t xml:space="preserve">Avg Stones per Applicant:</t>
  </si>
  <si>
    <t xml:space="preserve">Was 4.4 in 2025; trending up</t>
  </si>
  <si>
    <t xml:space="preserve">Kathleen's Running Stones:</t>
  </si>
  <si>
    <t xml:space="preserve">← Link from Race Schedule sheet or enter manually</t>
  </si>
  <si>
    <t xml:space="preserve">PROBABILITY CALCULATION</t>
  </si>
  <si>
    <t xml:space="preserve">Total Stones in Pool (est.):</t>
  </si>
  <si>
    <t xml:space="preserve">All applicants × avg stones</t>
  </si>
  <si>
    <t xml:space="preserve">Kathleen's Share of Pool:</t>
  </si>
  <si>
    <t xml:space="preserve">Her stones ÷ total pool</t>
  </si>
  <si>
    <t xml:space="preserve">Single-Draw Selection Prob.:</t>
  </si>
  <si>
    <t xml:space="preserve">Probability of being drawn in 1,200 picks</t>
  </si>
  <si>
    <t xml:space="preserve">Estimated Lottery Odds:</t>
  </si>
  <si>
    <t xml:space="preserve">Approx. 1 in X chance</t>
  </si>
  <si>
    <t xml:space="preserve">Selection Probability %:</t>
  </si>
  <si>
    <t xml:space="preserve">Your percentage chance</t>
  </si>
  <si>
    <t xml:space="preserve">WHAT-IF: SELECTION PROBABILITY BY NUMBER OF STONES</t>
  </si>
  <si>
    <t xml:space="preserve">Stones</t>
  </si>
  <si>
    <t xml:space="preserve">Share of Pool</t>
  </si>
  <si>
    <t xml:space="preserve">Selection Prob %</t>
  </si>
  <si>
    <t xml:space="preserve">~1 in X</t>
  </si>
  <si>
    <t xml:space="preserve">Assessment</t>
  </si>
  <si>
    <t xml:space="preserve">How to Get There</t>
  </si>
  <si>
    <t xml:space="preserve">Low — tough odds</t>
  </si>
  <si>
    <t xml:space="preserve">1 Event 50K</t>
  </si>
  <si>
    <t xml:space="preserve">Below average</t>
  </si>
  <si>
    <t xml:space="preserve">1 Event 100K</t>
  </si>
  <si>
    <t xml:space="preserve">Average applicant</t>
  </si>
  <si>
    <t xml:space="preserve">1 Major 50K or 2 Event 50Ks</t>
  </si>
  <si>
    <t xml:space="preserve">Slightly above avg</t>
  </si>
  <si>
    <t xml:space="preserve">1 Event 50K + 1 Event 100K</t>
  </si>
  <si>
    <t xml:space="preserve">Competitive</t>
  </si>
  <si>
    <t xml:space="preserve">1 Major 100K</t>
  </si>
  <si>
    <t xml:space="preserve">Good odds</t>
  </si>
  <si>
    <t xml:space="preserve">1 Major 100K + 1 Event 20K</t>
  </si>
  <si>
    <t xml:space="preserve">Strong position</t>
  </si>
  <si>
    <t xml:space="preserve">1 Major 100K + 1 Event 50K</t>
  </si>
  <si>
    <t xml:space="preserve">Very strong</t>
  </si>
  <si>
    <t xml:space="preserve">1 Major 100K + 1 Major 50K</t>
  </si>
  <si>
    <t xml:space="preserve">Excellent</t>
  </si>
  <si>
    <t xml:space="preserve">1 Major 100M + 1 Major 50K</t>
  </si>
  <si>
    <t xml:space="preserve">MULTI-YEAR STRATEGY: STONES CARRY OVER IF NOT SELECTED</t>
  </si>
  <si>
    <t xml:space="preserve">If Kathleen is NOT selected in the 2027 lottery, her stones carry over (they never expire).</t>
  </si>
  <si>
    <t xml:space="preserve">She just needs to earn at least 1 new stone within 24 months to keep them active.</t>
  </si>
  <si>
    <t xml:space="preserve">Each additional year of racing adds more stones, significantly improving odds.</t>
  </si>
  <si>
    <t xml:space="preserve">Example path: Race 2 events in 2026 (6 stones) → Not selected 2027 → Race 1 more in 2027 (3 stones) → Enter 2028 with 9 stones</t>
  </si>
  <si>
    <t xml:space="preserve">KEY DATES FOR 2027 CCC:</t>
  </si>
  <si>
    <t xml:space="preserve">  • Dec 2026: Pre-registration opens for CCC 2027 lottery</t>
  </si>
  <si>
    <t xml:space="preserve">  • Mid-Jan 2027: Lottery results announced</t>
  </si>
  <si>
    <t xml:space="preserve">  • Aug 29, 2027: CCC race day in Chamonix</t>
  </si>
  <si>
    <t xml:space="preserve">All stones must be earned BEFORE the Dec 2026 pre-registration deadline to count for the 2027 lottery.</t>
  </si>
  <si>
    <t xml:space="preserve">RECOMMENDED RACE STRATEGIES FOR KATHLEEN — CCC 2027</t>
  </si>
  <si>
    <t xml:space="preserve">STRATEGY A: MINIMUM VIABLE (Budget-Friendly)</t>
  </si>
  <si>
    <t xml:space="preserve">Date</t>
  </si>
  <si>
    <t xml:space="preserve">Location</t>
  </si>
  <si>
    <t xml:space="preserve">Travel from Logan</t>
  </si>
  <si>
    <t xml:space="preserve">Stones + Index</t>
  </si>
  <si>
    <t xml:space="preserve">Race 1</t>
  </si>
  <si>
    <t xml:space="preserve">Speedgoat 50K</t>
  </si>
  <si>
    <t xml:space="preserve">Jul 23-25, 2026</t>
  </si>
  <si>
    <t xml:space="preserve">~45 min drive!</t>
  </si>
  <si>
    <t xml:space="preserve">2 stones + 50K Index</t>
  </si>
  <si>
    <t xml:space="preserve">Race 2</t>
  </si>
  <si>
    <t xml:space="preserve">Snowbasin 50K</t>
  </si>
  <si>
    <t xml:space="preserve">Sep 10-12, 2026</t>
  </si>
  <si>
    <t xml:space="preserve">~1 hr drive!</t>
  </si>
  <si>
    <t xml:space="preserve">→ 4 stones total. Average odds. Nearly zero travel cost. Gets valid 50K Index for CCC.</t>
  </si>
  <si>
    <t xml:space="preserve">STRATEGY B: COMPETITIVE (Best Value)</t>
  </si>
  <si>
    <t xml:space="preserve">Canyons 100K</t>
  </si>
  <si>
    <t xml:space="preserve">Apr 23-25, 2026</t>
  </si>
  <si>
    <t xml:space="preserve">~9 hr drive / fly SLC-SMF</t>
  </si>
  <si>
    <t xml:space="preserve">3 stones + 100K Index</t>
  </si>
  <si>
    <t xml:space="preserve">2 stones</t>
  </si>
  <si>
    <t xml:space="preserve">Race 3</t>
  </si>
  <si>
    <t xml:space="preserve">→ 7 stones total. Good odds (~25-30%). Locks in 100K Index. Two races are basically local.</t>
  </si>
  <si>
    <t xml:space="preserve">STRATEGY C: MAXIMIZE STONES (Best Odds)</t>
  </si>
  <si>
    <t xml:space="preserve">~9 hr drive / fly</t>
  </si>
  <si>
    <t xml:space="preserve">Kodiak 100K (MAJOR)</t>
  </si>
  <si>
    <t xml:space="preserve">Oct 8-11, 2026</t>
  </si>
  <si>
    <t xml:space="preserve">Big Bear, CA</t>
  </si>
  <si>
    <t xml:space="preserve">Fly SLC-ONT</t>
  </si>
  <si>
    <t xml:space="preserve">6 stones (doubled!)</t>
  </si>
  <si>
    <t xml:space="preserve">→ 11 stones total. Excellent odds (~40%). Kodiak is the Americas Major = double stones. Also Western States qualifier.</t>
  </si>
  <si>
    <t xml:space="preserve">STRATEGY D: ALL-IN UTAH + MAJOR</t>
  </si>
  <si>
    <t xml:space="preserve">→ 10 stones total. Strong odds (~37%). Only 1 trip out of state. 50K Index for CCC (valid).</t>
  </si>
  <si>
    <t xml:space="preserve">KEY INSIGHT: Snowbasin (Ogden) and Speedgoat (Snowbird) are both within ~1 hour of Logan — these are essentially home races for Kathleen.</t>
  </si>
  <si>
    <t xml:space="preserve">NOTE: For the CCC lottery, Kathleen needs a valid UTMB Index in the 50K, 100K, or 100M category. Running ANY 50K+ at a UTMB World Series Event or Index race satisfies this requirement.</t>
  </si>
  <si>
    <t xml:space="preserve">UTMB CCC (100K) QUALIFICATION — HOW IT WORKS</t>
  </si>
  <si>
    <t xml:space="preserve">THE TWO REQUIREMENTS TO ENTER THE CCC LOTTERY:</t>
  </si>
  <si>
    <t xml:space="preserve">1. RUNNING STONES (Lottery Tickets)</t>
  </si>
  <si>
    <t xml:space="preserve">   • Earned by FINISHING races at UTMB World Series Events or Majors</t>
  </si>
  <si>
    <t xml:space="preserve">   • Events: 20K=1 stone, 50K=2, 100K=3, 100M=4 stones</t>
  </si>
  <si>
    <t xml:space="preserve">   • Majors: DOUBLE stones (50K=4, 100K=6, 100M=8)</t>
  </si>
  <si>
    <t xml:space="preserve">   • Stones NEVER expire, but go inactive if no new stone earned in 24 months</t>
  </si>
  <si>
    <t xml:space="preserve">   • More stones = more lottery entries = better odds</t>
  </si>
  <si>
    <t xml:space="preserve">   • When selected, ALL stones reset to zero</t>
  </si>
  <si>
    <t xml:space="preserve">   • Must have at least 1 stone earned in last 24 months to enter lottery</t>
  </si>
  <si>
    <t xml:space="preserve">2. VALID UTMB INDEX</t>
  </si>
  <si>
    <t xml:space="preserve">   • For CCC (100K): need valid index in 50K, 100K, or 100M category</t>
  </si>
  <si>
    <t xml:space="preserve">   • Earned by finishing ANY UTMB World Series race or UTMB Index race in that category</t>
  </si>
  <si>
    <t xml:space="preserve">   • Valid for 24 months from race date</t>
  </si>
  <si>
    <t xml:space="preserve">   • Over 5,500 races worldwide count as Index races (not just World Series)</t>
  </si>
  <si>
    <t xml:space="preserve">   • The Index score doesn't matter for lottery entry — just needs to be valid</t>
  </si>
  <si>
    <t xml:space="preserve">THE LOTTERY:</t>
  </si>
  <si>
    <t xml:space="preserve">   • Pre-registration: ~December each year</t>
  </si>
  <si>
    <t xml:space="preserve">   • Draw: ~Mid-January</t>
  </si>
  <si>
    <t xml:space="preserve">   • Each stone = 1 entry in the draw</t>
  </si>
  <si>
    <t xml:space="preserve">   • 2025 stats: ~6,000 CCC applicants, avg applicant had 4.4 stones</t>
  </si>
  <si>
    <t xml:space="preserve">   • Average SELECTED runner had 5.7 stones</t>
  </si>
  <si>
    <t xml:space="preserve">   • Demand is ~5x capacity</t>
  </si>
  <si>
    <t xml:space="preserve">   • Recommended target: 6-8 stones for competitive odds</t>
  </si>
  <si>
    <t xml:space="preserve">ALTERNATIVE PATHS (Skip the Lottery):</t>
  </si>
  <si>
    <t xml:space="preserve">   • Top 3 finish (M/F) at any World Series Event in 100K → direct CCC entry</t>
  </si>
  <si>
    <t xml:space="preserve">   • Top 10 finish (M/F) at a Major in 100K → direct CCC entry</t>
  </si>
  <si>
    <t xml:space="preserve">   • Achieve UTMB Score threshold (women: 660 for 100K) → direct entry</t>
  </si>
  <si>
    <t xml:space="preserve">   • Charity bibs: ~€2,000 (sell out in under 1 hour)</t>
  </si>
  <si>
    <t xml:space="preserve">KEY TIMELINE FOR CCC 2027:</t>
  </si>
  <si>
    <t xml:space="preserve">   • 2026: Race UTMB World Series events to collect stones + Index</t>
  </si>
  <si>
    <t xml:space="preserve">   • Dec 2026: Pre-register for CCC 2027 lottery</t>
  </si>
  <si>
    <t xml:space="preserve">   • Jan 2027: Lottery results</t>
  </si>
  <si>
    <t xml:space="preserve">   • Aug 29, 2027: CCC race day in Chamonix, France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</si>
</sst>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%"/>
    <numFmt numFmtId="167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2"/>
      <color rgb="FFE8833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2C5F8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8F7"/>
        <bgColor rgb="FFE8F0FE"/>
      </patternFill>
    </fill>
    <fill>
      <patternFill patternType="solid">
        <fgColor rgb="FFE8F0FE"/>
        <bgColor rgb="FFF2F2F2"/>
      </patternFill>
    </fill>
    <fill>
      <patternFill patternType="solid">
        <fgColor rgb="FFF2F2F2"/>
        <bgColor rgb="FFE8F0FE"/>
      </patternFill>
    </fill>
    <fill>
      <patternFill patternType="solid">
        <fgColor rgb="FFFFF2CC"/>
        <bgColor rgb="FFF2F2F2"/>
      </patternFill>
    </fill>
    <fill>
      <patternFill patternType="solid">
        <fgColor rgb="FF2C5F8A"/>
        <bgColor rgb="FF333399"/>
      </patternFill>
    </fill>
    <fill>
      <patternFill patternType="solid">
        <fgColor rgb="FFC6EFCE"/>
        <bgColor rgb="FFD6E8F7"/>
      </patternFill>
    </fill>
    <fill>
      <patternFill patternType="solid">
        <fgColor rgb="FFF5C542"/>
        <bgColor rgb="FFFFCC99"/>
      </patternFill>
    </fill>
    <fill>
      <patternFill patternType="solid">
        <fgColor rgb="FFE8833A"/>
        <bgColor rgb="FFFF9900"/>
      </patternFill>
    </fill>
    <fill>
      <patternFill patternType="solid">
        <fgColor rgb="FF0061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8F7"/>
      <rgbColor rgb="FF660066"/>
      <rgbColor rgb="FFE8833A"/>
      <rgbColor rgb="FF2C5F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5C542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P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2"/>
    <col collapsed="false" customWidth="true" hidden="false" outlineLevel="0" max="13" min="11" style="0" width="14"/>
    <col collapsed="false" customWidth="true" hidden="false" outlineLevel="0" max="14" min="14" style="0" width="12"/>
    <col collapsed="false" customWidth="true" hidden="false" outlineLevel="0" max="15" min="15" style="0" width="28"/>
    <col collapsed="false" customWidth="true" hidden="false" outlineLevel="0" max="16" min="16" style="0" width="3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21.75" hidden="false" customHeight="true" outlineLevel="0" collapsed="false">
      <c r="A4" s="4"/>
      <c r="B4" s="5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n">
        <v>3</v>
      </c>
      <c r="K4" s="6" t="s">
        <v>26</v>
      </c>
      <c r="L4" s="6" t="n">
        <v>314</v>
      </c>
      <c r="M4" s="6" t="s">
        <v>27</v>
      </c>
      <c r="N4" s="6" t="s">
        <v>28</v>
      </c>
      <c r="O4" s="6" t="s">
        <v>29</v>
      </c>
      <c r="P4" s="5"/>
    </row>
    <row r="5" customFormat="false" ht="21.75" hidden="false" customHeight="true" outlineLevel="0" collapsed="false">
      <c r="A5" s="4"/>
      <c r="B5" s="7" t="s">
        <v>30</v>
      </c>
      <c r="C5" s="8" t="s">
        <v>19</v>
      </c>
      <c r="D5" s="8" t="s">
        <v>20</v>
      </c>
      <c r="E5" s="8" t="s">
        <v>31</v>
      </c>
      <c r="F5" s="8" t="s">
        <v>30</v>
      </c>
      <c r="G5" s="8" t="s">
        <v>32</v>
      </c>
      <c r="H5" s="8" t="s">
        <v>33</v>
      </c>
      <c r="I5" s="8" t="s">
        <v>34</v>
      </c>
      <c r="J5" s="8" t="n">
        <v>2</v>
      </c>
      <c r="K5" s="8" t="s">
        <v>26</v>
      </c>
      <c r="L5" s="8" t="n">
        <v>1507</v>
      </c>
      <c r="M5" s="8" t="s">
        <v>35</v>
      </c>
      <c r="N5" s="8" t="s">
        <v>28</v>
      </c>
      <c r="O5" s="8" t="s">
        <v>36</v>
      </c>
      <c r="P5" s="7" t="s">
        <v>37</v>
      </c>
    </row>
    <row r="6" customFormat="false" ht="21.75" hidden="false" customHeight="true" outlineLevel="0" collapsed="false">
      <c r="A6" s="4"/>
      <c r="B6" s="5" t="s">
        <v>38</v>
      </c>
      <c r="C6" s="6" t="s">
        <v>19</v>
      </c>
      <c r="D6" s="6" t="s">
        <v>20</v>
      </c>
      <c r="E6" s="6" t="s">
        <v>21</v>
      </c>
      <c r="F6" s="6" t="s">
        <v>39</v>
      </c>
      <c r="G6" s="6" t="s">
        <v>40</v>
      </c>
      <c r="H6" s="6" t="s">
        <v>41</v>
      </c>
      <c r="I6" s="6" t="s">
        <v>25</v>
      </c>
      <c r="J6" s="6" t="n">
        <v>3</v>
      </c>
      <c r="K6" s="6" t="s">
        <v>26</v>
      </c>
      <c r="L6" s="6" t="n">
        <v>525</v>
      </c>
      <c r="M6" s="6" t="s">
        <v>27</v>
      </c>
      <c r="N6" s="6" t="s">
        <v>28</v>
      </c>
      <c r="O6" s="6" t="s">
        <v>42</v>
      </c>
      <c r="P6" s="5" t="s">
        <v>43</v>
      </c>
    </row>
    <row r="7" customFormat="false" ht="21.75" hidden="false" customHeight="true" outlineLevel="0" collapsed="false">
      <c r="A7" s="4"/>
      <c r="B7" s="7" t="s">
        <v>44</v>
      </c>
      <c r="C7" s="8" t="s">
        <v>19</v>
      </c>
      <c r="D7" s="8" t="s">
        <v>20</v>
      </c>
      <c r="E7" s="8" t="s">
        <v>21</v>
      </c>
      <c r="F7" s="8" t="s">
        <v>45</v>
      </c>
      <c r="G7" s="8" t="s">
        <v>46</v>
      </c>
      <c r="H7" s="8" t="s">
        <v>33</v>
      </c>
      <c r="I7" s="8" t="s">
        <v>34</v>
      </c>
      <c r="J7" s="8" t="n">
        <v>2</v>
      </c>
      <c r="K7" s="8" t="s">
        <v>26</v>
      </c>
      <c r="L7" s="8" t="n">
        <v>1754</v>
      </c>
      <c r="M7" s="8" t="s">
        <v>35</v>
      </c>
      <c r="N7" s="8" t="s">
        <v>28</v>
      </c>
      <c r="O7" s="8" t="s">
        <v>47</v>
      </c>
      <c r="P7" s="7" t="s">
        <v>48</v>
      </c>
    </row>
    <row r="8" customFormat="false" ht="21.75" hidden="false" customHeight="true" outlineLevel="0" collapsed="false">
      <c r="A8" s="4"/>
      <c r="B8" s="5" t="s">
        <v>49</v>
      </c>
      <c r="C8" s="6" t="s">
        <v>19</v>
      </c>
      <c r="D8" s="6" t="s">
        <v>20</v>
      </c>
      <c r="E8" s="6" t="s">
        <v>21</v>
      </c>
      <c r="F8" s="6" t="s">
        <v>39</v>
      </c>
      <c r="G8" s="6" t="s">
        <v>50</v>
      </c>
      <c r="H8" s="6" t="s">
        <v>51</v>
      </c>
      <c r="I8" s="6" t="s">
        <v>51</v>
      </c>
      <c r="J8" s="6" t="n">
        <v>4</v>
      </c>
      <c r="K8" s="6" t="s">
        <v>26</v>
      </c>
      <c r="L8" s="6" t="n">
        <v>525</v>
      </c>
      <c r="M8" s="6" t="s">
        <v>27</v>
      </c>
      <c r="N8" s="6" t="s">
        <v>28</v>
      </c>
      <c r="O8" s="6" t="s">
        <v>52</v>
      </c>
      <c r="P8" s="5" t="s">
        <v>53</v>
      </c>
    </row>
    <row r="9" customFormat="false" ht="21.75" hidden="false" customHeight="true" outlineLevel="0" collapsed="false">
      <c r="A9" s="4"/>
      <c r="B9" s="7" t="s">
        <v>54</v>
      </c>
      <c r="C9" s="8" t="s">
        <v>19</v>
      </c>
      <c r="D9" s="8" t="s">
        <v>20</v>
      </c>
      <c r="E9" s="8" t="s">
        <v>21</v>
      </c>
      <c r="F9" s="8" t="s">
        <v>55</v>
      </c>
      <c r="G9" s="8" t="s">
        <v>56</v>
      </c>
      <c r="H9" s="8" t="s">
        <v>33</v>
      </c>
      <c r="I9" s="8" t="s">
        <v>34</v>
      </c>
      <c r="J9" s="8" t="n">
        <v>2</v>
      </c>
      <c r="K9" s="8" t="s">
        <v>26</v>
      </c>
      <c r="L9" s="8" t="n">
        <v>80</v>
      </c>
      <c r="M9" s="8" t="s">
        <v>57</v>
      </c>
      <c r="N9" s="8" t="s">
        <v>28</v>
      </c>
      <c r="O9" s="8" t="s">
        <v>58</v>
      </c>
      <c r="P9" s="7" t="s">
        <v>59</v>
      </c>
    </row>
    <row r="10" customFormat="false" ht="21.75" hidden="false" customHeight="true" outlineLevel="0" collapsed="false">
      <c r="A10" s="4"/>
      <c r="B10" s="5" t="s">
        <v>60</v>
      </c>
      <c r="C10" s="6" t="s">
        <v>19</v>
      </c>
      <c r="D10" s="6" t="s">
        <v>20</v>
      </c>
      <c r="E10" s="6" t="s">
        <v>21</v>
      </c>
      <c r="F10" s="6" t="s">
        <v>61</v>
      </c>
      <c r="G10" s="6" t="s">
        <v>62</v>
      </c>
      <c r="H10" s="6" t="s">
        <v>63</v>
      </c>
      <c r="I10" s="6" t="s">
        <v>25</v>
      </c>
      <c r="J10" s="6" t="n">
        <v>3</v>
      </c>
      <c r="K10" s="6" t="s">
        <v>26</v>
      </c>
      <c r="L10" s="6" t="n">
        <v>615</v>
      </c>
      <c r="M10" s="6" t="s">
        <v>35</v>
      </c>
      <c r="N10" s="6" t="s">
        <v>28</v>
      </c>
      <c r="O10" s="6" t="s">
        <v>64</v>
      </c>
      <c r="P10" s="5" t="s">
        <v>48</v>
      </c>
    </row>
    <row r="11" customFormat="false" ht="21.75" hidden="false" customHeight="true" outlineLevel="0" collapsed="false">
      <c r="A11" s="4"/>
      <c r="B11" s="7" t="s">
        <v>65</v>
      </c>
      <c r="C11" s="8" t="s">
        <v>19</v>
      </c>
      <c r="D11" s="8" t="s">
        <v>20</v>
      </c>
      <c r="E11" s="8" t="s">
        <v>66</v>
      </c>
      <c r="F11" s="8" t="s">
        <v>67</v>
      </c>
      <c r="G11" s="8" t="s">
        <v>68</v>
      </c>
      <c r="H11" s="8" t="s">
        <v>69</v>
      </c>
      <c r="I11" s="8" t="s">
        <v>25</v>
      </c>
      <c r="J11" s="8" t="n">
        <v>3</v>
      </c>
      <c r="K11" s="8" t="s">
        <v>26</v>
      </c>
      <c r="L11" s="8" t="n">
        <v>1861</v>
      </c>
      <c r="M11" s="8" t="s">
        <v>35</v>
      </c>
      <c r="N11" s="8" t="s">
        <v>28</v>
      </c>
      <c r="O11" s="8" t="s">
        <v>70</v>
      </c>
      <c r="P11" s="7" t="s">
        <v>71</v>
      </c>
    </row>
    <row r="12" customFormat="false" ht="21.75" hidden="false" customHeight="true" outlineLevel="0" collapsed="false">
      <c r="A12" s="4"/>
      <c r="B12" s="5" t="s">
        <v>72</v>
      </c>
      <c r="C12" s="6" t="s">
        <v>19</v>
      </c>
      <c r="D12" s="6" t="s">
        <v>20</v>
      </c>
      <c r="E12" s="6" t="s">
        <v>21</v>
      </c>
      <c r="F12" s="6" t="s">
        <v>73</v>
      </c>
      <c r="G12" s="6" t="s">
        <v>74</v>
      </c>
      <c r="H12" s="6" t="s">
        <v>33</v>
      </c>
      <c r="I12" s="6" t="s">
        <v>34</v>
      </c>
      <c r="J12" s="6" t="n">
        <v>2</v>
      </c>
      <c r="K12" s="6" t="s">
        <v>26</v>
      </c>
      <c r="L12" s="6" t="n">
        <v>36</v>
      </c>
      <c r="M12" s="6" t="s">
        <v>57</v>
      </c>
      <c r="N12" s="6" t="s">
        <v>28</v>
      </c>
      <c r="O12" s="6" t="s">
        <v>75</v>
      </c>
      <c r="P12" s="5" t="s">
        <v>76</v>
      </c>
    </row>
    <row r="13" customFormat="false" ht="21.75" hidden="false" customHeight="true" outlineLevel="0" collapsed="false">
      <c r="A13" s="4"/>
      <c r="B13" s="7" t="s">
        <v>77</v>
      </c>
      <c r="C13" s="8" t="s">
        <v>19</v>
      </c>
      <c r="D13" s="8" t="s">
        <v>20</v>
      </c>
      <c r="E13" s="8" t="s">
        <v>21</v>
      </c>
      <c r="F13" s="8" t="s">
        <v>78</v>
      </c>
      <c r="G13" s="8" t="s">
        <v>79</v>
      </c>
      <c r="H13" s="8" t="s">
        <v>24</v>
      </c>
      <c r="I13" s="8" t="s">
        <v>25</v>
      </c>
      <c r="J13" s="8" t="n">
        <v>3</v>
      </c>
      <c r="K13" s="8" t="s">
        <v>26</v>
      </c>
      <c r="L13" s="8" t="n">
        <v>1734</v>
      </c>
      <c r="M13" s="8" t="s">
        <v>35</v>
      </c>
      <c r="N13" s="8" t="s">
        <v>28</v>
      </c>
      <c r="O13" s="8" t="s">
        <v>80</v>
      </c>
      <c r="P13" s="7" t="s">
        <v>81</v>
      </c>
    </row>
    <row r="14" customFormat="false" ht="21.75" hidden="false" customHeight="true" outlineLevel="0" collapsed="false">
      <c r="A14" s="4"/>
      <c r="B14" s="5" t="s">
        <v>82</v>
      </c>
      <c r="C14" s="6" t="s">
        <v>19</v>
      </c>
      <c r="D14" s="6" t="s">
        <v>20</v>
      </c>
      <c r="E14" s="6" t="s">
        <v>66</v>
      </c>
      <c r="F14" s="6" t="s">
        <v>83</v>
      </c>
      <c r="G14" s="6" t="s">
        <v>84</v>
      </c>
      <c r="H14" s="6" t="s">
        <v>69</v>
      </c>
      <c r="I14" s="6" t="s">
        <v>25</v>
      </c>
      <c r="J14" s="6" t="n">
        <v>3</v>
      </c>
      <c r="K14" s="6" t="s">
        <v>26</v>
      </c>
      <c r="L14" s="6" t="n">
        <v>786</v>
      </c>
      <c r="M14" s="6" t="s">
        <v>35</v>
      </c>
      <c r="N14" s="6" t="s">
        <v>28</v>
      </c>
      <c r="O14" s="6" t="s">
        <v>85</v>
      </c>
      <c r="P14" s="5" t="s">
        <v>86</v>
      </c>
    </row>
    <row r="15" customFormat="false" ht="21.75" hidden="false" customHeight="true" outlineLevel="0" collapsed="false">
      <c r="A15" s="4"/>
      <c r="B15" s="9" t="s">
        <v>87</v>
      </c>
      <c r="C15" s="10" t="s">
        <v>88</v>
      </c>
      <c r="D15" s="10" t="s">
        <v>20</v>
      </c>
      <c r="E15" s="10" t="s">
        <v>21</v>
      </c>
      <c r="F15" s="10" t="s">
        <v>89</v>
      </c>
      <c r="G15" s="10" t="s">
        <v>90</v>
      </c>
      <c r="H15" s="10" t="s">
        <v>41</v>
      </c>
      <c r="I15" s="10" t="s">
        <v>25</v>
      </c>
      <c r="J15" s="10" t="n">
        <v>6</v>
      </c>
      <c r="K15" s="10" t="s">
        <v>26</v>
      </c>
      <c r="L15" s="10" t="n">
        <v>587</v>
      </c>
      <c r="M15" s="10" t="s">
        <v>27</v>
      </c>
      <c r="N15" s="10" t="s">
        <v>91</v>
      </c>
      <c r="O15" s="10" t="s">
        <v>92</v>
      </c>
      <c r="P15" s="11" t="s">
        <v>93</v>
      </c>
    </row>
    <row r="16" customFormat="false" ht="21.75" hidden="false" customHeight="true" outlineLevel="0" collapsed="false">
      <c r="A16" s="4"/>
      <c r="B16" s="5" t="s">
        <v>94</v>
      </c>
      <c r="C16" s="6" t="s">
        <v>19</v>
      </c>
      <c r="D16" s="6" t="s">
        <v>20</v>
      </c>
      <c r="E16" s="6" t="s">
        <v>31</v>
      </c>
      <c r="F16" s="6" t="s">
        <v>94</v>
      </c>
      <c r="G16" s="6" t="s">
        <v>95</v>
      </c>
      <c r="H16" s="6" t="s">
        <v>33</v>
      </c>
      <c r="I16" s="6" t="s">
        <v>34</v>
      </c>
      <c r="J16" s="6" t="n">
        <v>2</v>
      </c>
      <c r="K16" s="6" t="s">
        <v>26</v>
      </c>
      <c r="L16" s="6" t="n">
        <v>961</v>
      </c>
      <c r="M16" s="6" t="s">
        <v>35</v>
      </c>
      <c r="N16" s="6" t="s">
        <v>28</v>
      </c>
      <c r="O16" s="6" t="s">
        <v>96</v>
      </c>
      <c r="P16" s="5" t="s">
        <v>97</v>
      </c>
    </row>
    <row r="17" customFormat="false" ht="21.75" hidden="false" customHeight="true" outlineLevel="0" collapsed="false">
      <c r="A17" s="4"/>
      <c r="B17" s="7" t="s">
        <v>98</v>
      </c>
      <c r="C17" s="8" t="s">
        <v>19</v>
      </c>
      <c r="D17" s="8" t="s">
        <v>99</v>
      </c>
      <c r="E17" s="8" t="s">
        <v>100</v>
      </c>
      <c r="F17" s="8" t="s">
        <v>101</v>
      </c>
      <c r="G17" s="8" t="s">
        <v>102</v>
      </c>
      <c r="H17" s="8" t="s">
        <v>69</v>
      </c>
      <c r="I17" s="8" t="s">
        <v>25</v>
      </c>
      <c r="J17" s="8" t="n">
        <v>3</v>
      </c>
      <c r="K17" s="8" t="s">
        <v>26</v>
      </c>
      <c r="L17" s="8" t="n">
        <v>3565</v>
      </c>
      <c r="M17" s="8" t="s">
        <v>103</v>
      </c>
      <c r="N17" s="8" t="s">
        <v>28</v>
      </c>
      <c r="O17" s="8" t="s">
        <v>104</v>
      </c>
      <c r="P17" s="7" t="s">
        <v>105</v>
      </c>
    </row>
    <row r="18" customFormat="false" ht="21.75" hidden="false" customHeight="true" outlineLevel="0" collapsed="false">
      <c r="A18" s="4"/>
      <c r="B18" s="5" t="s">
        <v>106</v>
      </c>
      <c r="C18" s="6" t="s">
        <v>19</v>
      </c>
      <c r="D18" s="6" t="s">
        <v>99</v>
      </c>
      <c r="E18" s="6" t="s">
        <v>107</v>
      </c>
      <c r="F18" s="6" t="s">
        <v>108</v>
      </c>
      <c r="G18" s="6" t="s">
        <v>109</v>
      </c>
      <c r="H18" s="6" t="s">
        <v>33</v>
      </c>
      <c r="I18" s="6" t="s">
        <v>34</v>
      </c>
      <c r="J18" s="6" t="n">
        <v>2</v>
      </c>
      <c r="K18" s="6" t="s">
        <v>26</v>
      </c>
      <c r="L18" s="6" t="n">
        <v>5815</v>
      </c>
      <c r="M18" s="6" t="s">
        <v>110</v>
      </c>
      <c r="N18" s="6" t="s">
        <v>28</v>
      </c>
      <c r="O18" s="6" t="s">
        <v>111</v>
      </c>
      <c r="P18" s="5" t="s">
        <v>112</v>
      </c>
    </row>
    <row r="19" customFormat="false" ht="21.75" hidden="false" customHeight="true" outlineLevel="0" collapsed="false">
      <c r="A19" s="4"/>
      <c r="B19" s="7" t="s">
        <v>113</v>
      </c>
      <c r="C19" s="8" t="s">
        <v>19</v>
      </c>
      <c r="D19" s="8" t="s">
        <v>99</v>
      </c>
      <c r="E19" s="8" t="s">
        <v>114</v>
      </c>
      <c r="F19" s="8" t="s">
        <v>115</v>
      </c>
      <c r="G19" s="8" t="s">
        <v>116</v>
      </c>
      <c r="H19" s="8" t="s">
        <v>41</v>
      </c>
      <c r="I19" s="8" t="s">
        <v>25</v>
      </c>
      <c r="J19" s="8" t="n">
        <v>3</v>
      </c>
      <c r="K19" s="8" t="s">
        <v>26</v>
      </c>
      <c r="L19" s="8" t="n">
        <v>6201</v>
      </c>
      <c r="M19" s="8" t="s">
        <v>110</v>
      </c>
      <c r="N19" s="8" t="s">
        <v>28</v>
      </c>
      <c r="O19" s="8" t="s">
        <v>117</v>
      </c>
      <c r="P19" s="7" t="s">
        <v>118</v>
      </c>
    </row>
    <row r="20" customFormat="false" ht="21.75" hidden="false" customHeight="true" outlineLevel="0" collapsed="false">
      <c r="A20" s="4"/>
      <c r="B20" s="5" t="s">
        <v>119</v>
      </c>
      <c r="C20" s="6" t="s">
        <v>19</v>
      </c>
      <c r="D20" s="6" t="s">
        <v>99</v>
      </c>
      <c r="E20" s="6" t="s">
        <v>120</v>
      </c>
      <c r="F20" s="6" t="s">
        <v>121</v>
      </c>
      <c r="G20" s="6" t="s">
        <v>79</v>
      </c>
      <c r="H20" s="6" t="s">
        <v>33</v>
      </c>
      <c r="I20" s="6" t="s">
        <v>34</v>
      </c>
      <c r="J20" s="6" t="n">
        <v>2</v>
      </c>
      <c r="K20" s="6" t="s">
        <v>26</v>
      </c>
      <c r="L20" s="6" t="n">
        <v>2719</v>
      </c>
      <c r="M20" s="6" t="s">
        <v>103</v>
      </c>
      <c r="N20" s="6" t="s">
        <v>28</v>
      </c>
      <c r="O20" s="6" t="s">
        <v>122</v>
      </c>
      <c r="P20" s="5" t="s">
        <v>123</v>
      </c>
    </row>
    <row r="21" customFormat="false" ht="21.75" hidden="false" customHeight="true" outlineLevel="0" collapsed="false">
      <c r="A21" s="4"/>
      <c r="B21" s="7" t="s">
        <v>124</v>
      </c>
      <c r="C21" s="8" t="s">
        <v>19</v>
      </c>
      <c r="D21" s="8" t="s">
        <v>99</v>
      </c>
      <c r="E21" s="8" t="s">
        <v>114</v>
      </c>
      <c r="F21" s="8" t="s">
        <v>125</v>
      </c>
      <c r="G21" s="8" t="s">
        <v>126</v>
      </c>
      <c r="H21" s="8" t="s">
        <v>69</v>
      </c>
      <c r="I21" s="8" t="s">
        <v>25</v>
      </c>
      <c r="J21" s="8" t="n">
        <v>3</v>
      </c>
      <c r="K21" s="8" t="s">
        <v>26</v>
      </c>
      <c r="L21" s="8" t="n">
        <v>6261</v>
      </c>
      <c r="M21" s="8" t="s">
        <v>110</v>
      </c>
      <c r="N21" s="8" t="s">
        <v>28</v>
      </c>
      <c r="O21" s="8" t="s">
        <v>127</v>
      </c>
      <c r="P21" s="7" t="s">
        <v>128</v>
      </c>
    </row>
    <row r="22" customFormat="false" ht="21.75" hidden="false" customHeight="true" outlineLevel="0" collapsed="false">
      <c r="A22" s="4"/>
      <c r="B22" s="5" t="s">
        <v>129</v>
      </c>
      <c r="C22" s="6" t="s">
        <v>19</v>
      </c>
      <c r="D22" s="6" t="s">
        <v>130</v>
      </c>
      <c r="E22" s="6" t="s">
        <v>131</v>
      </c>
      <c r="F22" s="6" t="s">
        <v>132</v>
      </c>
      <c r="G22" s="6" t="s">
        <v>133</v>
      </c>
      <c r="H22" s="6" t="s">
        <v>134</v>
      </c>
      <c r="I22" s="6" t="s">
        <v>34</v>
      </c>
      <c r="J22" s="6" t="n">
        <v>2</v>
      </c>
      <c r="K22" s="6" t="s">
        <v>26</v>
      </c>
      <c r="L22" s="6" t="n">
        <v>4690</v>
      </c>
      <c r="M22" s="6" t="s">
        <v>103</v>
      </c>
      <c r="N22" s="6" t="s">
        <v>28</v>
      </c>
      <c r="O22" s="6" t="s">
        <v>135</v>
      </c>
      <c r="P22" s="5" t="s">
        <v>136</v>
      </c>
    </row>
    <row r="23" customFormat="false" ht="21.75" hidden="false" customHeight="true" outlineLevel="0" collapsed="false">
      <c r="A23" s="4"/>
      <c r="B23" s="7" t="s">
        <v>137</v>
      </c>
      <c r="C23" s="8" t="s">
        <v>19</v>
      </c>
      <c r="D23" s="8" t="s">
        <v>130</v>
      </c>
      <c r="E23" s="8" t="s">
        <v>138</v>
      </c>
      <c r="F23" s="8" t="s">
        <v>139</v>
      </c>
      <c r="G23" s="8" t="s">
        <v>140</v>
      </c>
      <c r="H23" s="8" t="s">
        <v>69</v>
      </c>
      <c r="I23" s="8" t="s">
        <v>25</v>
      </c>
      <c r="J23" s="8" t="n">
        <v>3</v>
      </c>
      <c r="K23" s="8" t="s">
        <v>26</v>
      </c>
      <c r="L23" s="8" t="n">
        <v>5573</v>
      </c>
      <c r="M23" s="8" t="s">
        <v>110</v>
      </c>
      <c r="N23" s="8" t="s">
        <v>28</v>
      </c>
      <c r="O23" s="8" t="s">
        <v>141</v>
      </c>
      <c r="P23" s="7" t="s">
        <v>142</v>
      </c>
    </row>
    <row r="24" customFormat="false" ht="21.75" hidden="false" customHeight="true" outlineLevel="0" collapsed="false">
      <c r="A24" s="4"/>
      <c r="B24" s="5" t="s">
        <v>143</v>
      </c>
      <c r="C24" s="6" t="s">
        <v>19</v>
      </c>
      <c r="D24" s="6" t="s">
        <v>130</v>
      </c>
      <c r="E24" s="6" t="s">
        <v>144</v>
      </c>
      <c r="F24" s="6" t="s">
        <v>145</v>
      </c>
      <c r="G24" s="6" t="s">
        <v>146</v>
      </c>
      <c r="H24" s="6" t="s">
        <v>41</v>
      </c>
      <c r="I24" s="6" t="s">
        <v>25</v>
      </c>
      <c r="J24" s="6" t="n">
        <v>3</v>
      </c>
      <c r="K24" s="6" t="s">
        <v>26</v>
      </c>
      <c r="L24" s="6" t="n">
        <v>5197</v>
      </c>
      <c r="M24" s="6" t="s">
        <v>110</v>
      </c>
      <c r="N24" s="6" t="s">
        <v>28</v>
      </c>
      <c r="O24" s="6" t="s">
        <v>147</v>
      </c>
      <c r="P24" s="5" t="s">
        <v>148</v>
      </c>
    </row>
    <row r="25" customFormat="false" ht="21.75" hidden="false" customHeight="true" outlineLevel="0" collapsed="false">
      <c r="A25" s="4"/>
      <c r="B25" s="7" t="s">
        <v>149</v>
      </c>
      <c r="C25" s="8" t="s">
        <v>19</v>
      </c>
      <c r="D25" s="8" t="s">
        <v>130</v>
      </c>
      <c r="E25" s="8" t="s">
        <v>144</v>
      </c>
      <c r="F25" s="8" t="s">
        <v>150</v>
      </c>
      <c r="G25" s="8" t="s">
        <v>23</v>
      </c>
      <c r="H25" s="8" t="s">
        <v>69</v>
      </c>
      <c r="I25" s="8" t="s">
        <v>25</v>
      </c>
      <c r="J25" s="8" t="n">
        <v>3</v>
      </c>
      <c r="K25" s="8" t="s">
        <v>26</v>
      </c>
      <c r="L25" s="8" t="n">
        <v>5484</v>
      </c>
      <c r="M25" s="8" t="s">
        <v>110</v>
      </c>
      <c r="N25" s="8" t="s">
        <v>28</v>
      </c>
      <c r="O25" s="8" t="s">
        <v>151</v>
      </c>
      <c r="P25" s="7" t="s">
        <v>152</v>
      </c>
    </row>
    <row r="26" customFormat="false" ht="21.75" hidden="false" customHeight="true" outlineLevel="0" collapsed="false">
      <c r="A26" s="4"/>
      <c r="B26" s="5" t="s">
        <v>153</v>
      </c>
      <c r="C26" s="6" t="s">
        <v>19</v>
      </c>
      <c r="D26" s="6" t="s">
        <v>130</v>
      </c>
      <c r="E26" s="6" t="s">
        <v>154</v>
      </c>
      <c r="F26" s="6" t="s">
        <v>155</v>
      </c>
      <c r="G26" s="6" t="s">
        <v>156</v>
      </c>
      <c r="H26" s="6" t="s">
        <v>69</v>
      </c>
      <c r="I26" s="6" t="s">
        <v>25</v>
      </c>
      <c r="J26" s="6" t="n">
        <v>3</v>
      </c>
      <c r="K26" s="6" t="s">
        <v>26</v>
      </c>
      <c r="L26" s="6" t="n">
        <v>5341</v>
      </c>
      <c r="M26" s="6" t="s">
        <v>110</v>
      </c>
      <c r="N26" s="6" t="s">
        <v>28</v>
      </c>
      <c r="O26" s="6" t="s">
        <v>157</v>
      </c>
      <c r="P26" s="5" t="s">
        <v>158</v>
      </c>
    </row>
    <row r="27" customFormat="false" ht="21.75" hidden="false" customHeight="true" outlineLevel="0" collapsed="false">
      <c r="A27" s="4"/>
      <c r="B27" s="7" t="s">
        <v>159</v>
      </c>
      <c r="C27" s="8" t="s">
        <v>19</v>
      </c>
      <c r="D27" s="8" t="s">
        <v>130</v>
      </c>
      <c r="E27" s="8" t="s">
        <v>160</v>
      </c>
      <c r="F27" s="8" t="s">
        <v>161</v>
      </c>
      <c r="G27" s="8" t="s">
        <v>162</v>
      </c>
      <c r="H27" s="8" t="s">
        <v>41</v>
      </c>
      <c r="I27" s="8" t="s">
        <v>25</v>
      </c>
      <c r="J27" s="8" t="n">
        <v>3</v>
      </c>
      <c r="K27" s="8" t="s">
        <v>26</v>
      </c>
      <c r="L27" s="8" t="n">
        <v>5555</v>
      </c>
      <c r="M27" s="8" t="s">
        <v>110</v>
      </c>
      <c r="N27" s="8" t="s">
        <v>28</v>
      </c>
      <c r="O27" s="8" t="s">
        <v>163</v>
      </c>
      <c r="P27" s="7" t="s">
        <v>164</v>
      </c>
    </row>
    <row r="28" customFormat="false" ht="21.75" hidden="false" customHeight="true" outlineLevel="0" collapsed="false">
      <c r="A28" s="4"/>
      <c r="B28" s="5" t="s">
        <v>165</v>
      </c>
      <c r="C28" s="6" t="s">
        <v>19</v>
      </c>
      <c r="D28" s="6" t="s">
        <v>130</v>
      </c>
      <c r="E28" s="6" t="s">
        <v>166</v>
      </c>
      <c r="F28" s="6" t="s">
        <v>167</v>
      </c>
      <c r="G28" s="6" t="s">
        <v>168</v>
      </c>
      <c r="H28" s="6" t="s">
        <v>41</v>
      </c>
      <c r="I28" s="6" t="s">
        <v>25</v>
      </c>
      <c r="J28" s="6" t="n">
        <v>3</v>
      </c>
      <c r="K28" s="6" t="s">
        <v>26</v>
      </c>
      <c r="L28" s="6" t="n">
        <v>5306</v>
      </c>
      <c r="M28" s="6" t="s">
        <v>110</v>
      </c>
      <c r="N28" s="6" t="s">
        <v>28</v>
      </c>
      <c r="O28" s="6" t="s">
        <v>169</v>
      </c>
      <c r="P28" s="5" t="s">
        <v>170</v>
      </c>
    </row>
    <row r="29" customFormat="false" ht="21.75" hidden="false" customHeight="true" outlineLevel="0" collapsed="false">
      <c r="A29" s="4"/>
      <c r="B29" s="7" t="s">
        <v>171</v>
      </c>
      <c r="C29" s="8" t="s">
        <v>19</v>
      </c>
      <c r="D29" s="8" t="s">
        <v>130</v>
      </c>
      <c r="E29" s="8" t="s">
        <v>131</v>
      </c>
      <c r="F29" s="8" t="s">
        <v>172</v>
      </c>
      <c r="G29" s="8" t="s">
        <v>46</v>
      </c>
      <c r="H29" s="8" t="s">
        <v>69</v>
      </c>
      <c r="I29" s="8" t="s">
        <v>25</v>
      </c>
      <c r="J29" s="8" t="n">
        <v>3</v>
      </c>
      <c r="K29" s="8" t="s">
        <v>26</v>
      </c>
      <c r="L29" s="8" t="n">
        <v>4612</v>
      </c>
      <c r="M29" s="8" t="s">
        <v>103</v>
      </c>
      <c r="N29" s="8" t="s">
        <v>28</v>
      </c>
      <c r="O29" s="8" t="s">
        <v>173</v>
      </c>
      <c r="P29" s="7" t="s">
        <v>174</v>
      </c>
    </row>
    <row r="30" customFormat="false" ht="21.75" hidden="false" customHeight="true" outlineLevel="0" collapsed="false">
      <c r="A30" s="4"/>
      <c r="B30" s="5" t="s">
        <v>175</v>
      </c>
      <c r="C30" s="6" t="s">
        <v>19</v>
      </c>
      <c r="D30" s="6" t="s">
        <v>130</v>
      </c>
      <c r="E30" s="6" t="s">
        <v>176</v>
      </c>
      <c r="F30" s="6" t="s">
        <v>177</v>
      </c>
      <c r="G30" s="6" t="s">
        <v>178</v>
      </c>
      <c r="H30" s="6" t="s">
        <v>63</v>
      </c>
      <c r="I30" s="6" t="s">
        <v>25</v>
      </c>
      <c r="J30" s="6" t="n">
        <v>3</v>
      </c>
      <c r="K30" s="6" t="s">
        <v>26</v>
      </c>
      <c r="L30" s="6" t="n">
        <v>5395</v>
      </c>
      <c r="M30" s="6" t="s">
        <v>110</v>
      </c>
      <c r="N30" s="6" t="s">
        <v>28</v>
      </c>
      <c r="O30" s="6" t="s">
        <v>179</v>
      </c>
      <c r="P30" s="5" t="s">
        <v>180</v>
      </c>
    </row>
    <row r="31" customFormat="false" ht="21.75" hidden="false" customHeight="true" outlineLevel="0" collapsed="false">
      <c r="A31" s="4"/>
      <c r="B31" s="7" t="s">
        <v>181</v>
      </c>
      <c r="C31" s="8" t="s">
        <v>19</v>
      </c>
      <c r="D31" s="8" t="s">
        <v>130</v>
      </c>
      <c r="E31" s="8" t="s">
        <v>182</v>
      </c>
      <c r="F31" s="8" t="s">
        <v>182</v>
      </c>
      <c r="G31" s="8" t="s">
        <v>183</v>
      </c>
      <c r="H31" s="8" t="s">
        <v>69</v>
      </c>
      <c r="I31" s="8" t="s">
        <v>25</v>
      </c>
      <c r="J31" s="8" t="n">
        <v>3</v>
      </c>
      <c r="K31" s="8" t="s">
        <v>26</v>
      </c>
      <c r="L31" s="8" t="n">
        <v>5061</v>
      </c>
      <c r="M31" s="8" t="s">
        <v>110</v>
      </c>
      <c r="N31" s="8" t="s">
        <v>28</v>
      </c>
      <c r="O31" s="8" t="s">
        <v>184</v>
      </c>
      <c r="P31" s="7" t="s">
        <v>185</v>
      </c>
    </row>
    <row r="32" customFormat="false" ht="21.75" hidden="false" customHeight="true" outlineLevel="0" collapsed="false">
      <c r="A32" s="4"/>
      <c r="B32" s="5" t="s">
        <v>186</v>
      </c>
      <c r="C32" s="6" t="s">
        <v>19</v>
      </c>
      <c r="D32" s="6" t="s">
        <v>130</v>
      </c>
      <c r="E32" s="6" t="s">
        <v>187</v>
      </c>
      <c r="F32" s="6" t="s">
        <v>188</v>
      </c>
      <c r="G32" s="6" t="s">
        <v>189</v>
      </c>
      <c r="H32" s="6" t="s">
        <v>33</v>
      </c>
      <c r="I32" s="6" t="s">
        <v>34</v>
      </c>
      <c r="J32" s="6" t="n">
        <v>2</v>
      </c>
      <c r="K32" s="6" t="s">
        <v>26</v>
      </c>
      <c r="L32" s="6" t="n">
        <v>5161</v>
      </c>
      <c r="M32" s="6" t="s">
        <v>110</v>
      </c>
      <c r="N32" s="6" t="s">
        <v>28</v>
      </c>
      <c r="O32" s="6" t="s">
        <v>190</v>
      </c>
      <c r="P32" s="5" t="s">
        <v>191</v>
      </c>
    </row>
    <row r="33" customFormat="false" ht="21.75" hidden="false" customHeight="true" outlineLevel="0" collapsed="false">
      <c r="A33" s="4"/>
      <c r="B33" s="7" t="s">
        <v>192</v>
      </c>
      <c r="C33" s="8" t="s">
        <v>19</v>
      </c>
      <c r="D33" s="8" t="s">
        <v>130</v>
      </c>
      <c r="E33" s="8" t="s">
        <v>166</v>
      </c>
      <c r="F33" s="8" t="s">
        <v>193</v>
      </c>
      <c r="G33" s="8" t="s">
        <v>194</v>
      </c>
      <c r="H33" s="8" t="s">
        <v>69</v>
      </c>
      <c r="I33" s="8" t="s">
        <v>25</v>
      </c>
      <c r="J33" s="8" t="n">
        <v>3</v>
      </c>
      <c r="K33" s="8" t="s">
        <v>26</v>
      </c>
      <c r="L33" s="8" t="n">
        <v>5304</v>
      </c>
      <c r="M33" s="8" t="s">
        <v>110</v>
      </c>
      <c r="N33" s="8" t="s">
        <v>28</v>
      </c>
      <c r="O33" s="8" t="s">
        <v>195</v>
      </c>
      <c r="P33" s="7" t="s">
        <v>196</v>
      </c>
    </row>
    <row r="34" customFormat="false" ht="21.75" hidden="false" customHeight="true" outlineLevel="0" collapsed="false">
      <c r="A34" s="4"/>
      <c r="B34" s="5" t="s">
        <v>197</v>
      </c>
      <c r="C34" s="6" t="s">
        <v>19</v>
      </c>
      <c r="D34" s="6" t="s">
        <v>130</v>
      </c>
      <c r="E34" s="6" t="s">
        <v>138</v>
      </c>
      <c r="F34" s="6" t="s">
        <v>198</v>
      </c>
      <c r="G34" s="6" t="s">
        <v>199</v>
      </c>
      <c r="H34" s="6" t="s">
        <v>41</v>
      </c>
      <c r="I34" s="6" t="s">
        <v>25</v>
      </c>
      <c r="J34" s="6" t="n">
        <v>3</v>
      </c>
      <c r="K34" s="6" t="s">
        <v>26</v>
      </c>
      <c r="L34" s="6" t="n">
        <v>5436</v>
      </c>
      <c r="M34" s="6" t="s">
        <v>110</v>
      </c>
      <c r="N34" s="6" t="s">
        <v>28</v>
      </c>
      <c r="O34" s="6" t="s">
        <v>200</v>
      </c>
      <c r="P34" s="5" t="s">
        <v>201</v>
      </c>
    </row>
    <row r="35" customFormat="false" ht="21.75" hidden="false" customHeight="true" outlineLevel="0" collapsed="false">
      <c r="A35" s="4"/>
      <c r="B35" s="9" t="s">
        <v>202</v>
      </c>
      <c r="C35" s="10" t="s">
        <v>88</v>
      </c>
      <c r="D35" s="10" t="s">
        <v>130</v>
      </c>
      <c r="E35" s="10" t="s">
        <v>144</v>
      </c>
      <c r="F35" s="10" t="s">
        <v>203</v>
      </c>
      <c r="G35" s="10" t="s">
        <v>204</v>
      </c>
      <c r="H35" s="10" t="s">
        <v>41</v>
      </c>
      <c r="I35" s="10" t="s">
        <v>25</v>
      </c>
      <c r="J35" s="10" t="n">
        <v>6</v>
      </c>
      <c r="K35" s="10" t="s">
        <v>26</v>
      </c>
      <c r="L35" s="10" t="n">
        <v>5255</v>
      </c>
      <c r="M35" s="10" t="s">
        <v>110</v>
      </c>
      <c r="N35" s="10" t="s">
        <v>91</v>
      </c>
      <c r="O35" s="10" t="s">
        <v>205</v>
      </c>
      <c r="P35" s="11" t="s">
        <v>206</v>
      </c>
    </row>
    <row r="36" customFormat="false" ht="21.75" hidden="false" customHeight="true" outlineLevel="0" collapsed="false">
      <c r="A36" s="4"/>
      <c r="B36" s="5" t="s">
        <v>207</v>
      </c>
      <c r="C36" s="6" t="s">
        <v>19</v>
      </c>
      <c r="D36" s="6" t="s">
        <v>130</v>
      </c>
      <c r="E36" s="6" t="s">
        <v>154</v>
      </c>
      <c r="F36" s="6" t="s">
        <v>208</v>
      </c>
      <c r="G36" s="6" t="s">
        <v>209</v>
      </c>
      <c r="H36" s="6" t="s">
        <v>69</v>
      </c>
      <c r="I36" s="6" t="s">
        <v>25</v>
      </c>
      <c r="J36" s="6" t="n">
        <v>3</v>
      </c>
      <c r="K36" s="6" t="s">
        <v>26</v>
      </c>
      <c r="L36" s="6" t="n">
        <v>5431</v>
      </c>
      <c r="M36" s="6" t="s">
        <v>110</v>
      </c>
      <c r="N36" s="6" t="s">
        <v>28</v>
      </c>
      <c r="O36" s="6" t="s">
        <v>210</v>
      </c>
      <c r="P36" s="5" t="s">
        <v>211</v>
      </c>
    </row>
    <row r="37" customFormat="false" ht="21.75" hidden="false" customHeight="true" outlineLevel="0" collapsed="false">
      <c r="A37" s="4"/>
      <c r="B37" s="7" t="s">
        <v>212</v>
      </c>
      <c r="C37" s="8" t="s">
        <v>19</v>
      </c>
      <c r="D37" s="8" t="s">
        <v>130</v>
      </c>
      <c r="E37" s="8" t="s">
        <v>213</v>
      </c>
      <c r="F37" s="8" t="s">
        <v>214</v>
      </c>
      <c r="G37" s="8" t="s">
        <v>215</v>
      </c>
      <c r="H37" s="8" t="s">
        <v>33</v>
      </c>
      <c r="I37" s="8" t="s">
        <v>34</v>
      </c>
      <c r="J37" s="8" t="n">
        <v>2</v>
      </c>
      <c r="K37" s="8" t="s">
        <v>26</v>
      </c>
      <c r="L37" s="8" t="n">
        <v>5724</v>
      </c>
      <c r="M37" s="8" t="s">
        <v>110</v>
      </c>
      <c r="N37" s="8" t="s">
        <v>28</v>
      </c>
      <c r="O37" s="8" t="s">
        <v>216</v>
      </c>
      <c r="P37" s="7" t="s">
        <v>217</v>
      </c>
    </row>
    <row r="38" customFormat="false" ht="21.75" hidden="false" customHeight="true" outlineLevel="0" collapsed="false">
      <c r="A38" s="4"/>
      <c r="B38" s="5" t="s">
        <v>218</v>
      </c>
      <c r="C38" s="6" t="s">
        <v>19</v>
      </c>
      <c r="D38" s="6" t="s">
        <v>130</v>
      </c>
      <c r="E38" s="6" t="s">
        <v>219</v>
      </c>
      <c r="F38" s="6" t="s">
        <v>220</v>
      </c>
      <c r="G38" s="6" t="s">
        <v>221</v>
      </c>
      <c r="H38" s="6" t="s">
        <v>69</v>
      </c>
      <c r="I38" s="6" t="s">
        <v>25</v>
      </c>
      <c r="J38" s="6" t="n">
        <v>3</v>
      </c>
      <c r="K38" s="6" t="s">
        <v>26</v>
      </c>
      <c r="L38" s="6" t="n">
        <v>5354</v>
      </c>
      <c r="M38" s="6" t="s">
        <v>110</v>
      </c>
      <c r="N38" s="6" t="s">
        <v>28</v>
      </c>
      <c r="O38" s="6" t="s">
        <v>222</v>
      </c>
      <c r="P38" s="5" t="s">
        <v>223</v>
      </c>
    </row>
    <row r="39" customFormat="false" ht="21.75" hidden="false" customHeight="true" outlineLevel="0" collapsed="false">
      <c r="A39" s="4"/>
      <c r="B39" s="7" t="s">
        <v>224</v>
      </c>
      <c r="C39" s="8" t="s">
        <v>19</v>
      </c>
      <c r="D39" s="8" t="s">
        <v>130</v>
      </c>
      <c r="E39" s="8" t="s">
        <v>138</v>
      </c>
      <c r="F39" s="8" t="s">
        <v>225</v>
      </c>
      <c r="G39" s="8" t="s">
        <v>226</v>
      </c>
      <c r="H39" s="8" t="s">
        <v>69</v>
      </c>
      <c r="I39" s="8" t="s">
        <v>25</v>
      </c>
      <c r="J39" s="8" t="n">
        <v>3</v>
      </c>
      <c r="K39" s="8" t="s">
        <v>26</v>
      </c>
      <c r="L39" s="8" t="n">
        <v>5339</v>
      </c>
      <c r="M39" s="8" t="s">
        <v>110</v>
      </c>
      <c r="N39" s="8" t="s">
        <v>28</v>
      </c>
      <c r="O39" s="8" t="s">
        <v>227</v>
      </c>
      <c r="P39" s="7" t="s">
        <v>228</v>
      </c>
    </row>
    <row r="40" customFormat="false" ht="21.75" hidden="false" customHeight="true" outlineLevel="0" collapsed="false">
      <c r="A40" s="4"/>
      <c r="B40" s="5" t="s">
        <v>229</v>
      </c>
      <c r="C40" s="6" t="s">
        <v>19</v>
      </c>
      <c r="D40" s="6" t="s">
        <v>130</v>
      </c>
      <c r="E40" s="6" t="s">
        <v>154</v>
      </c>
      <c r="F40" s="6" t="s">
        <v>230</v>
      </c>
      <c r="G40" s="6" t="s">
        <v>231</v>
      </c>
      <c r="H40" s="6" t="s">
        <v>69</v>
      </c>
      <c r="I40" s="6" t="s">
        <v>25</v>
      </c>
      <c r="J40" s="6" t="n">
        <v>3</v>
      </c>
      <c r="K40" s="6" t="s">
        <v>26</v>
      </c>
      <c r="L40" s="6" t="n">
        <v>5250</v>
      </c>
      <c r="M40" s="6" t="s">
        <v>110</v>
      </c>
      <c r="N40" s="6" t="s">
        <v>28</v>
      </c>
      <c r="O40" s="6" t="s">
        <v>232</v>
      </c>
      <c r="P40" s="5" t="s">
        <v>233</v>
      </c>
    </row>
    <row r="41" customFormat="false" ht="21.75" hidden="false" customHeight="true" outlineLevel="0" collapsed="false">
      <c r="A41" s="4"/>
      <c r="B41" s="7" t="s">
        <v>234</v>
      </c>
      <c r="C41" s="8" t="s">
        <v>19</v>
      </c>
      <c r="D41" s="8" t="s">
        <v>130</v>
      </c>
      <c r="E41" s="8" t="s">
        <v>144</v>
      </c>
      <c r="F41" s="8" t="s">
        <v>235</v>
      </c>
      <c r="G41" s="8" t="s">
        <v>236</v>
      </c>
      <c r="H41" s="8" t="s">
        <v>69</v>
      </c>
      <c r="I41" s="8" t="s">
        <v>25</v>
      </c>
      <c r="J41" s="8" t="n">
        <v>3</v>
      </c>
      <c r="K41" s="8" t="s">
        <v>26</v>
      </c>
      <c r="L41" s="8" t="n">
        <v>5335</v>
      </c>
      <c r="M41" s="8" t="s">
        <v>110</v>
      </c>
      <c r="N41" s="8" t="s">
        <v>28</v>
      </c>
      <c r="O41" s="8" t="s">
        <v>237</v>
      </c>
      <c r="P41" s="7" t="s">
        <v>238</v>
      </c>
    </row>
    <row r="42" customFormat="false" ht="21.75" hidden="false" customHeight="true" outlineLevel="0" collapsed="false">
      <c r="A42" s="4"/>
      <c r="B42" s="5" t="s">
        <v>239</v>
      </c>
      <c r="C42" s="6" t="s">
        <v>19</v>
      </c>
      <c r="D42" s="6" t="s">
        <v>130</v>
      </c>
      <c r="E42" s="6" t="s">
        <v>240</v>
      </c>
      <c r="F42" s="6" t="s">
        <v>241</v>
      </c>
      <c r="G42" s="6" t="s">
        <v>242</v>
      </c>
      <c r="H42" s="6" t="s">
        <v>41</v>
      </c>
      <c r="I42" s="6" t="s">
        <v>25</v>
      </c>
      <c r="J42" s="6" t="n">
        <v>3</v>
      </c>
      <c r="K42" s="6" t="s">
        <v>26</v>
      </c>
      <c r="L42" s="6" t="n">
        <v>9712</v>
      </c>
      <c r="M42" s="6" t="s">
        <v>110</v>
      </c>
      <c r="N42" s="6" t="s">
        <v>28</v>
      </c>
      <c r="O42" s="6" t="s">
        <v>243</v>
      </c>
      <c r="P42" s="5" t="s">
        <v>244</v>
      </c>
    </row>
    <row r="43" customFormat="false" ht="21.75" hidden="false" customHeight="true" outlineLevel="0" collapsed="false">
      <c r="A43" s="4"/>
      <c r="B43" s="12" t="s">
        <v>245</v>
      </c>
      <c r="C43" s="8" t="s">
        <v>246</v>
      </c>
      <c r="D43" s="8" t="s">
        <v>130</v>
      </c>
      <c r="E43" s="8" t="s">
        <v>154</v>
      </c>
      <c r="F43" s="8" t="s">
        <v>247</v>
      </c>
      <c r="G43" s="8" t="s">
        <v>248</v>
      </c>
      <c r="H43" s="8" t="s">
        <v>249</v>
      </c>
      <c r="I43" s="8" t="s">
        <v>25</v>
      </c>
      <c r="J43" s="8" t="s">
        <v>250</v>
      </c>
      <c r="K43" s="8" t="s">
        <v>251</v>
      </c>
      <c r="L43" s="8" t="n">
        <v>5305</v>
      </c>
      <c r="M43" s="8" t="s">
        <v>110</v>
      </c>
      <c r="N43" s="8" t="s">
        <v>252</v>
      </c>
      <c r="O43" s="8" t="s">
        <v>253</v>
      </c>
      <c r="P43" s="7" t="s">
        <v>254</v>
      </c>
    </row>
    <row r="44" customFormat="false" ht="21.75" hidden="false" customHeight="true" outlineLevel="0" collapsed="false">
      <c r="A44" s="4"/>
      <c r="B44" s="5" t="s">
        <v>255</v>
      </c>
      <c r="C44" s="6" t="s">
        <v>19</v>
      </c>
      <c r="D44" s="6" t="s">
        <v>130</v>
      </c>
      <c r="E44" s="6" t="s">
        <v>256</v>
      </c>
      <c r="F44" s="6" t="s">
        <v>257</v>
      </c>
      <c r="G44" s="6" t="s">
        <v>258</v>
      </c>
      <c r="H44" s="6" t="s">
        <v>69</v>
      </c>
      <c r="I44" s="6" t="s">
        <v>25</v>
      </c>
      <c r="J44" s="6" t="n">
        <v>3</v>
      </c>
      <c r="K44" s="6" t="s">
        <v>26</v>
      </c>
      <c r="L44" s="6" t="n">
        <v>6488</v>
      </c>
      <c r="M44" s="6" t="s">
        <v>110</v>
      </c>
      <c r="N44" s="6" t="s">
        <v>28</v>
      </c>
      <c r="O44" s="6" t="s">
        <v>259</v>
      </c>
      <c r="P44" s="5" t="s">
        <v>260</v>
      </c>
    </row>
    <row r="45" customFormat="false" ht="21.75" hidden="false" customHeight="true" outlineLevel="0" collapsed="false">
      <c r="A45" s="4"/>
      <c r="B45" s="7" t="s">
        <v>261</v>
      </c>
      <c r="C45" s="8" t="s">
        <v>19</v>
      </c>
      <c r="D45" s="8" t="s">
        <v>130</v>
      </c>
      <c r="E45" s="8" t="s">
        <v>144</v>
      </c>
      <c r="F45" s="8" t="s">
        <v>262</v>
      </c>
      <c r="G45" s="8" t="s">
        <v>263</v>
      </c>
      <c r="H45" s="8" t="s">
        <v>41</v>
      </c>
      <c r="I45" s="8" t="s">
        <v>25</v>
      </c>
      <c r="J45" s="8" t="n">
        <v>3</v>
      </c>
      <c r="K45" s="8" t="s">
        <v>26</v>
      </c>
      <c r="L45" s="8" t="n">
        <v>5318</v>
      </c>
      <c r="M45" s="8" t="s">
        <v>110</v>
      </c>
      <c r="N45" s="8" t="s">
        <v>28</v>
      </c>
      <c r="O45" s="8" t="s">
        <v>264</v>
      </c>
      <c r="P45" s="7" t="s">
        <v>265</v>
      </c>
    </row>
    <row r="46" customFormat="false" ht="21.75" hidden="false" customHeight="true" outlineLevel="0" collapsed="false">
      <c r="A46" s="4"/>
      <c r="B46" s="5" t="s">
        <v>266</v>
      </c>
      <c r="C46" s="6" t="s">
        <v>19</v>
      </c>
      <c r="D46" s="6" t="s">
        <v>130</v>
      </c>
      <c r="E46" s="6" t="s">
        <v>144</v>
      </c>
      <c r="F46" s="6" t="s">
        <v>267</v>
      </c>
      <c r="G46" s="6" t="s">
        <v>268</v>
      </c>
      <c r="H46" s="6" t="s">
        <v>33</v>
      </c>
      <c r="I46" s="6" t="s">
        <v>34</v>
      </c>
      <c r="J46" s="6" t="n">
        <v>2</v>
      </c>
      <c r="K46" s="6" t="s">
        <v>26</v>
      </c>
      <c r="L46" s="6" t="n">
        <v>5266</v>
      </c>
      <c r="M46" s="6" t="s">
        <v>110</v>
      </c>
      <c r="N46" s="6" t="s">
        <v>28</v>
      </c>
      <c r="O46" s="6" t="s">
        <v>269</v>
      </c>
      <c r="P46" s="5" t="s">
        <v>270</v>
      </c>
    </row>
    <row r="47" customFormat="false" ht="21.75" hidden="false" customHeight="true" outlineLevel="0" collapsed="false">
      <c r="A47" s="4"/>
      <c r="B47" s="7" t="s">
        <v>271</v>
      </c>
      <c r="C47" s="8" t="s">
        <v>19</v>
      </c>
      <c r="D47" s="8" t="s">
        <v>130</v>
      </c>
      <c r="E47" s="8" t="s">
        <v>256</v>
      </c>
      <c r="F47" s="8" t="s">
        <v>272</v>
      </c>
      <c r="G47" s="8" t="s">
        <v>273</v>
      </c>
      <c r="H47" s="8" t="s">
        <v>41</v>
      </c>
      <c r="I47" s="8" t="s">
        <v>25</v>
      </c>
      <c r="J47" s="8" t="n">
        <v>3</v>
      </c>
      <c r="K47" s="8" t="s">
        <v>26</v>
      </c>
      <c r="L47" s="8" t="n">
        <v>6501</v>
      </c>
      <c r="M47" s="8" t="s">
        <v>110</v>
      </c>
      <c r="N47" s="8" t="s">
        <v>28</v>
      </c>
      <c r="O47" s="8" t="s">
        <v>274</v>
      </c>
      <c r="P47" s="7" t="s">
        <v>275</v>
      </c>
    </row>
    <row r="48" customFormat="false" ht="21.75" hidden="false" customHeight="true" outlineLevel="0" collapsed="false">
      <c r="A48" s="4"/>
      <c r="B48" s="5" t="s">
        <v>276</v>
      </c>
      <c r="C48" s="6" t="s">
        <v>19</v>
      </c>
      <c r="D48" s="6" t="s">
        <v>130</v>
      </c>
      <c r="E48" s="6" t="s">
        <v>138</v>
      </c>
      <c r="F48" s="6" t="s">
        <v>276</v>
      </c>
      <c r="G48" s="6" t="s">
        <v>277</v>
      </c>
      <c r="H48" s="6" t="s">
        <v>33</v>
      </c>
      <c r="I48" s="6" t="s">
        <v>34</v>
      </c>
      <c r="J48" s="6" t="n">
        <v>2</v>
      </c>
      <c r="K48" s="6" t="s">
        <v>26</v>
      </c>
      <c r="L48" s="6" t="n">
        <v>5936</v>
      </c>
      <c r="M48" s="6" t="s">
        <v>110</v>
      </c>
      <c r="N48" s="6" t="s">
        <v>28</v>
      </c>
      <c r="O48" s="6" t="s">
        <v>278</v>
      </c>
      <c r="P48" s="5" t="s">
        <v>279</v>
      </c>
    </row>
    <row r="49" customFormat="false" ht="21.75" hidden="false" customHeight="true" outlineLevel="0" collapsed="false">
      <c r="A49" s="4"/>
      <c r="B49" s="7" t="s">
        <v>280</v>
      </c>
      <c r="C49" s="8" t="s">
        <v>19</v>
      </c>
      <c r="D49" s="8" t="s">
        <v>130</v>
      </c>
      <c r="E49" s="8" t="s">
        <v>281</v>
      </c>
      <c r="F49" s="8" t="s">
        <v>282</v>
      </c>
      <c r="G49" s="8" t="s">
        <v>283</v>
      </c>
      <c r="H49" s="8" t="s">
        <v>69</v>
      </c>
      <c r="I49" s="8" t="s">
        <v>25</v>
      </c>
      <c r="J49" s="8" t="n">
        <v>3</v>
      </c>
      <c r="K49" s="8" t="s">
        <v>26</v>
      </c>
      <c r="L49" s="8" t="n">
        <v>7904</v>
      </c>
      <c r="M49" s="8" t="s">
        <v>110</v>
      </c>
      <c r="N49" s="8" t="s">
        <v>28</v>
      </c>
      <c r="O49" s="8" t="s">
        <v>284</v>
      </c>
      <c r="P49" s="7" t="s">
        <v>285</v>
      </c>
    </row>
    <row r="50" customFormat="false" ht="21.75" hidden="false" customHeight="true" outlineLevel="0" collapsed="false">
      <c r="A50" s="4"/>
      <c r="B50" s="5" t="s">
        <v>286</v>
      </c>
      <c r="C50" s="6" t="s">
        <v>19</v>
      </c>
      <c r="D50" s="6" t="s">
        <v>287</v>
      </c>
      <c r="E50" s="6" t="s">
        <v>288</v>
      </c>
      <c r="F50" s="6" t="s">
        <v>289</v>
      </c>
      <c r="G50" s="6" t="s">
        <v>290</v>
      </c>
      <c r="H50" s="6" t="s">
        <v>33</v>
      </c>
      <c r="I50" s="6" t="s">
        <v>34</v>
      </c>
      <c r="J50" s="6" t="n">
        <v>2</v>
      </c>
      <c r="K50" s="6" t="s">
        <v>26</v>
      </c>
      <c r="L50" s="6" t="n">
        <v>6861</v>
      </c>
      <c r="M50" s="6" t="s">
        <v>110</v>
      </c>
      <c r="N50" s="6" t="s">
        <v>28</v>
      </c>
      <c r="O50" s="6" t="s">
        <v>291</v>
      </c>
      <c r="P50" s="5" t="s">
        <v>292</v>
      </c>
    </row>
    <row r="51" customFormat="false" ht="21.75" hidden="false" customHeight="true" outlineLevel="0" collapsed="false">
      <c r="A51" s="4"/>
      <c r="B51" s="7" t="s">
        <v>293</v>
      </c>
      <c r="C51" s="8" t="s">
        <v>19</v>
      </c>
      <c r="D51" s="8" t="s">
        <v>287</v>
      </c>
      <c r="E51" s="8" t="s">
        <v>294</v>
      </c>
      <c r="F51" s="8" t="s">
        <v>295</v>
      </c>
      <c r="G51" s="8" t="s">
        <v>296</v>
      </c>
      <c r="H51" s="8" t="s">
        <v>69</v>
      </c>
      <c r="I51" s="8" t="s">
        <v>25</v>
      </c>
      <c r="J51" s="8" t="n">
        <v>3</v>
      </c>
      <c r="K51" s="8" t="s">
        <v>26</v>
      </c>
      <c r="L51" s="8" t="n">
        <v>7135</v>
      </c>
      <c r="M51" s="8" t="s">
        <v>110</v>
      </c>
      <c r="N51" s="8" t="s">
        <v>28</v>
      </c>
      <c r="O51" s="8" t="s">
        <v>297</v>
      </c>
      <c r="P51" s="7" t="s">
        <v>298</v>
      </c>
    </row>
    <row r="52" customFormat="false" ht="21.75" hidden="false" customHeight="true" outlineLevel="0" collapsed="false">
      <c r="A52" s="4"/>
      <c r="B52" s="5" t="s">
        <v>299</v>
      </c>
      <c r="C52" s="6" t="s">
        <v>19</v>
      </c>
      <c r="D52" s="6" t="s">
        <v>287</v>
      </c>
      <c r="E52" s="6" t="s">
        <v>288</v>
      </c>
      <c r="F52" s="6" t="s">
        <v>300</v>
      </c>
      <c r="G52" s="6" t="s">
        <v>301</v>
      </c>
      <c r="H52" s="6" t="s">
        <v>69</v>
      </c>
      <c r="I52" s="6" t="s">
        <v>25</v>
      </c>
      <c r="J52" s="6" t="n">
        <v>3</v>
      </c>
      <c r="K52" s="6" t="s">
        <v>26</v>
      </c>
      <c r="L52" s="6" t="n">
        <v>7027</v>
      </c>
      <c r="M52" s="6" t="s">
        <v>110</v>
      </c>
      <c r="N52" s="6" t="s">
        <v>28</v>
      </c>
      <c r="O52" s="6" t="s">
        <v>302</v>
      </c>
      <c r="P52" s="5" t="s">
        <v>303</v>
      </c>
    </row>
    <row r="53" customFormat="false" ht="21.75" hidden="false" customHeight="true" outlineLevel="0" collapsed="false">
      <c r="A53" s="4"/>
      <c r="B53" s="9" t="s">
        <v>304</v>
      </c>
      <c r="C53" s="10" t="s">
        <v>88</v>
      </c>
      <c r="D53" s="10" t="s">
        <v>287</v>
      </c>
      <c r="E53" s="10" t="s">
        <v>305</v>
      </c>
      <c r="F53" s="10" t="s">
        <v>306</v>
      </c>
      <c r="G53" s="10" t="s">
        <v>307</v>
      </c>
      <c r="H53" s="10" t="s">
        <v>41</v>
      </c>
      <c r="I53" s="10" t="s">
        <v>25</v>
      </c>
      <c r="J53" s="10" t="n">
        <v>6</v>
      </c>
      <c r="K53" s="10" t="s">
        <v>26</v>
      </c>
      <c r="L53" s="10" t="n">
        <v>7815</v>
      </c>
      <c r="M53" s="10" t="s">
        <v>110</v>
      </c>
      <c r="N53" s="10" t="s">
        <v>91</v>
      </c>
      <c r="O53" s="10" t="s">
        <v>308</v>
      </c>
      <c r="P53" s="11" t="s">
        <v>309</v>
      </c>
    </row>
    <row r="54" customFormat="false" ht="21.75" hidden="false" customHeight="true" outlineLevel="0" collapsed="false">
      <c r="A54" s="4"/>
      <c r="B54" s="5" t="s">
        <v>310</v>
      </c>
      <c r="C54" s="6" t="s">
        <v>19</v>
      </c>
      <c r="D54" s="6" t="s">
        <v>287</v>
      </c>
      <c r="E54" s="6" t="s">
        <v>288</v>
      </c>
      <c r="F54" s="6" t="s">
        <v>311</v>
      </c>
      <c r="G54" s="6" t="s">
        <v>46</v>
      </c>
      <c r="H54" s="6" t="s">
        <v>33</v>
      </c>
      <c r="I54" s="6" t="s">
        <v>34</v>
      </c>
      <c r="J54" s="6" t="n">
        <v>2</v>
      </c>
      <c r="K54" s="6" t="s">
        <v>26</v>
      </c>
      <c r="L54" s="6" t="n">
        <v>6002</v>
      </c>
      <c r="M54" s="6" t="s">
        <v>110</v>
      </c>
      <c r="N54" s="6" t="s">
        <v>28</v>
      </c>
      <c r="O54" s="6" t="s">
        <v>312</v>
      </c>
      <c r="P54" s="5" t="s">
        <v>313</v>
      </c>
    </row>
    <row r="55" customFormat="false" ht="21.75" hidden="false" customHeight="true" outlineLevel="0" collapsed="false">
      <c r="A55" s="4"/>
      <c r="B55" s="7" t="s">
        <v>314</v>
      </c>
      <c r="C55" s="8" t="s">
        <v>19</v>
      </c>
      <c r="D55" s="8" t="s">
        <v>287</v>
      </c>
      <c r="E55" s="8" t="s">
        <v>315</v>
      </c>
      <c r="F55" s="8" t="s">
        <v>316</v>
      </c>
      <c r="G55" s="8" t="s">
        <v>189</v>
      </c>
      <c r="H55" s="8" t="s">
        <v>41</v>
      </c>
      <c r="I55" s="8" t="s">
        <v>25</v>
      </c>
      <c r="J55" s="8" t="n">
        <v>3</v>
      </c>
      <c r="K55" s="8" t="s">
        <v>26</v>
      </c>
      <c r="L55" s="8" t="n">
        <v>5542</v>
      </c>
      <c r="M55" s="8" t="s">
        <v>110</v>
      </c>
      <c r="N55" s="8" t="s">
        <v>28</v>
      </c>
      <c r="O55" s="8" t="s">
        <v>317</v>
      </c>
      <c r="P55" s="7" t="s">
        <v>318</v>
      </c>
    </row>
    <row r="56" customFormat="false" ht="21.75" hidden="false" customHeight="true" outlineLevel="0" collapsed="false">
      <c r="A56" s="4"/>
      <c r="B56" s="5" t="s">
        <v>319</v>
      </c>
      <c r="C56" s="6" t="s">
        <v>19</v>
      </c>
      <c r="D56" s="6" t="s">
        <v>287</v>
      </c>
      <c r="E56" s="6" t="s">
        <v>294</v>
      </c>
      <c r="F56" s="6" t="s">
        <v>320</v>
      </c>
      <c r="G56" s="6" t="s">
        <v>321</v>
      </c>
      <c r="H56" s="6" t="s">
        <v>69</v>
      </c>
      <c r="I56" s="6" t="s">
        <v>25</v>
      </c>
      <c r="J56" s="6" t="n">
        <v>3</v>
      </c>
      <c r="K56" s="6" t="s">
        <v>26</v>
      </c>
      <c r="L56" s="6" t="n">
        <v>7121</v>
      </c>
      <c r="M56" s="6" t="s">
        <v>110</v>
      </c>
      <c r="N56" s="6" t="s">
        <v>28</v>
      </c>
      <c r="O56" s="6" t="s">
        <v>322</v>
      </c>
      <c r="P56" s="5" t="s">
        <v>323</v>
      </c>
    </row>
    <row r="57" customFormat="false" ht="21.75" hidden="false" customHeight="true" outlineLevel="0" collapsed="false">
      <c r="A57" s="4"/>
      <c r="B57" s="7" t="s">
        <v>324</v>
      </c>
      <c r="C57" s="8" t="s">
        <v>19</v>
      </c>
      <c r="D57" s="8" t="s">
        <v>287</v>
      </c>
      <c r="E57" s="8" t="s">
        <v>325</v>
      </c>
      <c r="F57" s="8" t="s">
        <v>326</v>
      </c>
      <c r="G57" s="8" t="s">
        <v>263</v>
      </c>
      <c r="H57" s="8" t="s">
        <v>69</v>
      </c>
      <c r="I57" s="8" t="s">
        <v>25</v>
      </c>
      <c r="J57" s="8" t="n">
        <v>3</v>
      </c>
      <c r="K57" s="8" t="s">
        <v>26</v>
      </c>
      <c r="L57" s="8" t="n">
        <v>6064</v>
      </c>
      <c r="M57" s="8" t="s">
        <v>110</v>
      </c>
      <c r="N57" s="8" t="s">
        <v>28</v>
      </c>
      <c r="O57" s="8" t="s">
        <v>327</v>
      </c>
      <c r="P57" s="7" t="s">
        <v>328</v>
      </c>
    </row>
    <row r="58" customFormat="false" ht="21.75" hidden="false" customHeight="true" outlineLevel="0" collapsed="false">
      <c r="A58" s="4"/>
      <c r="B58" s="5" t="s">
        <v>329</v>
      </c>
      <c r="C58" s="6" t="s">
        <v>19</v>
      </c>
      <c r="D58" s="6" t="s">
        <v>287</v>
      </c>
      <c r="E58" s="6" t="s">
        <v>330</v>
      </c>
      <c r="F58" s="6" t="s">
        <v>330</v>
      </c>
      <c r="G58" s="6" t="s">
        <v>263</v>
      </c>
      <c r="H58" s="6" t="s">
        <v>33</v>
      </c>
      <c r="I58" s="6" t="s">
        <v>34</v>
      </c>
      <c r="J58" s="6" t="n">
        <v>2</v>
      </c>
      <c r="K58" s="6" t="s">
        <v>26</v>
      </c>
      <c r="L58" s="6" t="n">
        <v>9059</v>
      </c>
      <c r="M58" s="6" t="s">
        <v>110</v>
      </c>
      <c r="N58" s="6" t="s">
        <v>28</v>
      </c>
      <c r="O58" s="6" t="s">
        <v>331</v>
      </c>
      <c r="P58" s="5" t="s">
        <v>332</v>
      </c>
    </row>
    <row r="59" customFormat="false" ht="21.75" hidden="false" customHeight="true" outlineLevel="0" collapsed="false">
      <c r="A59" s="4"/>
      <c r="B59" s="7" t="s">
        <v>333</v>
      </c>
      <c r="C59" s="8" t="s">
        <v>19</v>
      </c>
      <c r="D59" s="8" t="s">
        <v>287</v>
      </c>
      <c r="E59" s="8" t="s">
        <v>334</v>
      </c>
      <c r="F59" s="8" t="s">
        <v>334</v>
      </c>
      <c r="G59" s="8" t="s">
        <v>335</v>
      </c>
      <c r="H59" s="8" t="s">
        <v>69</v>
      </c>
      <c r="I59" s="8" t="s">
        <v>25</v>
      </c>
      <c r="J59" s="8" t="n">
        <v>3</v>
      </c>
      <c r="K59" s="8" t="s">
        <v>26</v>
      </c>
      <c r="L59" s="8" t="n">
        <v>8618</v>
      </c>
      <c r="M59" s="8" t="s">
        <v>110</v>
      </c>
      <c r="N59" s="8" t="s">
        <v>28</v>
      </c>
      <c r="O59" s="8" t="s">
        <v>336</v>
      </c>
      <c r="P59" s="7" t="s">
        <v>337</v>
      </c>
    </row>
    <row r="60" customFormat="false" ht="21.75" hidden="false" customHeight="true" outlineLevel="0" collapsed="false">
      <c r="A60" s="4"/>
      <c r="B60" s="5" t="s">
        <v>338</v>
      </c>
      <c r="C60" s="6" t="s">
        <v>19</v>
      </c>
      <c r="D60" s="6" t="s">
        <v>287</v>
      </c>
      <c r="E60" s="6" t="s">
        <v>305</v>
      </c>
      <c r="F60" s="6" t="s">
        <v>339</v>
      </c>
      <c r="G60" s="6" t="s">
        <v>340</v>
      </c>
      <c r="H60" s="6" t="s">
        <v>69</v>
      </c>
      <c r="I60" s="6" t="s">
        <v>25</v>
      </c>
      <c r="J60" s="6" t="n">
        <v>3</v>
      </c>
      <c r="K60" s="6" t="s">
        <v>26</v>
      </c>
      <c r="L60" s="6" t="n">
        <v>7721</v>
      </c>
      <c r="M60" s="6" t="s">
        <v>110</v>
      </c>
      <c r="N60" s="6" t="s">
        <v>28</v>
      </c>
      <c r="O60" s="6" t="s">
        <v>341</v>
      </c>
      <c r="P60" s="5" t="s">
        <v>342</v>
      </c>
    </row>
    <row r="61" customFormat="false" ht="21.75" hidden="false" customHeight="true" outlineLevel="0" collapsed="false">
      <c r="A61" s="4"/>
      <c r="B61" s="7" t="s">
        <v>343</v>
      </c>
      <c r="C61" s="8" t="s">
        <v>19</v>
      </c>
      <c r="D61" s="8" t="s">
        <v>287</v>
      </c>
      <c r="E61" s="8" t="s">
        <v>344</v>
      </c>
      <c r="F61" s="8" t="s">
        <v>345</v>
      </c>
      <c r="G61" s="8" t="s">
        <v>346</v>
      </c>
      <c r="H61" s="8" t="s">
        <v>33</v>
      </c>
      <c r="I61" s="8" t="s">
        <v>34</v>
      </c>
      <c r="J61" s="8" t="n">
        <v>2</v>
      </c>
      <c r="K61" s="8" t="s">
        <v>26</v>
      </c>
      <c r="L61" s="8" t="n">
        <v>6900</v>
      </c>
      <c r="M61" s="8" t="s">
        <v>110</v>
      </c>
      <c r="N61" s="8" t="s">
        <v>28</v>
      </c>
      <c r="O61" s="8" t="s">
        <v>347</v>
      </c>
      <c r="P61" s="7" t="s">
        <v>348</v>
      </c>
    </row>
    <row r="62" customFormat="false" ht="21.75" hidden="false" customHeight="true" outlineLevel="0" collapsed="false">
      <c r="A62" s="4"/>
      <c r="B62" s="5" t="s">
        <v>349</v>
      </c>
      <c r="C62" s="6" t="s">
        <v>19</v>
      </c>
      <c r="D62" s="6" t="s">
        <v>287</v>
      </c>
      <c r="E62" s="6" t="s">
        <v>288</v>
      </c>
      <c r="F62" s="6" t="s">
        <v>350</v>
      </c>
      <c r="G62" s="6" t="s">
        <v>351</v>
      </c>
      <c r="H62" s="6" t="s">
        <v>69</v>
      </c>
      <c r="I62" s="6" t="s">
        <v>25</v>
      </c>
      <c r="J62" s="6" t="n">
        <v>3</v>
      </c>
      <c r="K62" s="6" t="s">
        <v>26</v>
      </c>
      <c r="L62" s="6" t="n">
        <v>6943</v>
      </c>
      <c r="M62" s="6" t="s">
        <v>110</v>
      </c>
      <c r="N62" s="6" t="s">
        <v>28</v>
      </c>
      <c r="O62" s="6" t="s">
        <v>352</v>
      </c>
      <c r="P62" s="5" t="s">
        <v>353</v>
      </c>
    </row>
    <row r="63" customFormat="false" ht="21.75" hidden="false" customHeight="true" outlineLevel="0" collapsed="false">
      <c r="A63" s="4"/>
      <c r="B63" s="9" t="s">
        <v>354</v>
      </c>
      <c r="C63" s="10" t="s">
        <v>88</v>
      </c>
      <c r="D63" s="10" t="s">
        <v>355</v>
      </c>
      <c r="E63" s="10" t="s">
        <v>356</v>
      </c>
      <c r="F63" s="10" t="s">
        <v>357</v>
      </c>
      <c r="G63" s="10" t="s">
        <v>168</v>
      </c>
      <c r="H63" s="10" t="s">
        <v>41</v>
      </c>
      <c r="I63" s="10" t="s">
        <v>25</v>
      </c>
      <c r="J63" s="10" t="n">
        <v>6</v>
      </c>
      <c r="K63" s="10" t="s">
        <v>26</v>
      </c>
      <c r="L63" s="10" t="n">
        <v>8086</v>
      </c>
      <c r="M63" s="10" t="s">
        <v>110</v>
      </c>
      <c r="N63" s="10" t="s">
        <v>91</v>
      </c>
      <c r="O63" s="10" t="s">
        <v>358</v>
      </c>
      <c r="P63" s="11" t="s">
        <v>359</v>
      </c>
    </row>
    <row r="64" customFormat="false" ht="21.75" hidden="false" customHeight="true" outlineLevel="0" collapsed="false">
      <c r="A64" s="4"/>
      <c r="B64" s="5" t="s">
        <v>360</v>
      </c>
      <c r="C64" s="6" t="s">
        <v>19</v>
      </c>
      <c r="D64" s="6" t="s">
        <v>355</v>
      </c>
      <c r="E64" s="6" t="s">
        <v>356</v>
      </c>
      <c r="F64" s="6" t="s">
        <v>361</v>
      </c>
      <c r="G64" s="6" t="s">
        <v>362</v>
      </c>
      <c r="H64" s="6" t="s">
        <v>41</v>
      </c>
      <c r="I64" s="6" t="s">
        <v>25</v>
      </c>
      <c r="J64" s="6" t="n">
        <v>3</v>
      </c>
      <c r="K64" s="6" t="s">
        <v>26</v>
      </c>
      <c r="L64" s="6" t="n">
        <v>8268</v>
      </c>
      <c r="M64" s="6" t="s">
        <v>110</v>
      </c>
      <c r="N64" s="6" t="s">
        <v>28</v>
      </c>
      <c r="O64" s="6" t="s">
        <v>363</v>
      </c>
      <c r="P64" s="5" t="s">
        <v>364</v>
      </c>
    </row>
    <row r="65" customFormat="false" ht="21.75" hidden="false" customHeight="true" outlineLevel="0" collapsed="false">
      <c r="A65" s="4"/>
      <c r="B65" s="7" t="s">
        <v>365</v>
      </c>
      <c r="C65" s="8" t="s">
        <v>19</v>
      </c>
      <c r="D65" s="8" t="s">
        <v>355</v>
      </c>
      <c r="E65" s="8" t="s">
        <v>366</v>
      </c>
      <c r="F65" s="8" t="s">
        <v>367</v>
      </c>
      <c r="G65" s="8" t="s">
        <v>368</v>
      </c>
      <c r="H65" s="8" t="s">
        <v>41</v>
      </c>
      <c r="I65" s="8" t="s">
        <v>25</v>
      </c>
      <c r="J65" s="8" t="n">
        <v>3</v>
      </c>
      <c r="K65" s="8" t="s">
        <v>26</v>
      </c>
      <c r="L65" s="8" t="n">
        <v>7133</v>
      </c>
      <c r="M65" s="8" t="s">
        <v>110</v>
      </c>
      <c r="N65" s="8" t="s">
        <v>28</v>
      </c>
      <c r="O65" s="8" t="s">
        <v>369</v>
      </c>
      <c r="P65" s="7" t="s">
        <v>370</v>
      </c>
    </row>
    <row r="66" customFormat="false" ht="21.75" hidden="false" customHeight="true" outlineLevel="0" collapsed="false">
      <c r="A66" s="4"/>
      <c r="B66" s="5" t="s">
        <v>371</v>
      </c>
      <c r="C66" s="6" t="s">
        <v>19</v>
      </c>
      <c r="D66" s="6" t="s">
        <v>372</v>
      </c>
      <c r="E66" s="6" t="s">
        <v>240</v>
      </c>
      <c r="F66" s="6" t="s">
        <v>373</v>
      </c>
      <c r="G66" s="6" t="s">
        <v>374</v>
      </c>
      <c r="H66" s="6" t="s">
        <v>69</v>
      </c>
      <c r="I66" s="6" t="s">
        <v>25</v>
      </c>
      <c r="J66" s="6" t="n">
        <v>3</v>
      </c>
      <c r="K66" s="6" t="s">
        <v>26</v>
      </c>
      <c r="L66" s="6" t="n">
        <v>10114</v>
      </c>
      <c r="M66" s="6" t="s">
        <v>110</v>
      </c>
      <c r="N66" s="6" t="s">
        <v>28</v>
      </c>
      <c r="O66" s="6" t="s">
        <v>375</v>
      </c>
      <c r="P66" s="5" t="s">
        <v>376</v>
      </c>
    </row>
  </sheetData>
  <mergeCells count="2">
    <mergeCell ref="A1:P1"/>
    <mergeCell ref="A2:P2"/>
  </mergeCells>
  <dataValidations count="1">
    <dataValidation allowBlank="true" error="Please enter Y or N" errorStyle="stop" errorTitle="Invalid Entry" operator="between" showDropDown="false" showErrorMessage="false" showInputMessage="false" sqref="A4:A6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8A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4.5" hidden="false" customHeight="true" outlineLevel="0" collapsed="false">
      <c r="A1" s="13" t="s">
        <v>377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4.75" hidden="false" customHeight="true" outlineLevel="0" collapsed="false">
      <c r="A2" s="14" t="s">
        <v>378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39.75" hidden="false" customHeight="true" outlineLevel="0" collapsed="false">
      <c r="A3" s="3" t="s">
        <v>379</v>
      </c>
      <c r="B3" s="3" t="s">
        <v>3</v>
      </c>
      <c r="C3" s="3" t="s">
        <v>4</v>
      </c>
      <c r="D3" s="3" t="s">
        <v>6</v>
      </c>
      <c r="E3" s="3" t="s">
        <v>380</v>
      </c>
      <c r="F3" s="3" t="s">
        <v>381</v>
      </c>
      <c r="G3" s="3" t="s">
        <v>382</v>
      </c>
      <c r="H3" s="3" t="s">
        <v>383</v>
      </c>
      <c r="I3" s="3" t="s">
        <v>384</v>
      </c>
      <c r="J3" s="3" t="s">
        <v>385</v>
      </c>
      <c r="K3" s="3" t="s">
        <v>386</v>
      </c>
      <c r="L3" s="3" t="s">
        <v>17</v>
      </c>
    </row>
    <row r="4" customFormat="false" ht="21.75" hidden="false" customHeight="true" outlineLevel="0" collapsed="false">
      <c r="A4" s="15" t="n">
        <v>1</v>
      </c>
      <c r="B4" s="15"/>
      <c r="C4" s="15"/>
      <c r="D4" s="15"/>
      <c r="E4" s="15"/>
      <c r="F4" s="15"/>
      <c r="G4" s="15"/>
      <c r="H4" s="15"/>
      <c r="I4" s="16" t="n">
        <f aca="false">IF(H4="",0,H4)</f>
        <v>0</v>
      </c>
      <c r="J4" s="15"/>
      <c r="K4" s="15"/>
      <c r="L4" s="15"/>
    </row>
    <row r="5" customFormat="false" ht="15" hidden="false" customHeight="false" outlineLevel="0" collapsed="false">
      <c r="A5" s="17" t="n">
        <v>2</v>
      </c>
      <c r="B5" s="17"/>
      <c r="C5" s="17"/>
      <c r="D5" s="17"/>
      <c r="E5" s="17"/>
      <c r="F5" s="17"/>
      <c r="G5" s="17"/>
      <c r="H5" s="17"/>
      <c r="I5" s="18" t="n">
        <f aca="false">IF(H5="",I4,I4+H5)</f>
        <v>0</v>
      </c>
      <c r="J5" s="17"/>
      <c r="K5" s="17"/>
      <c r="L5" s="17"/>
    </row>
    <row r="6" customFormat="false" ht="15" hidden="false" customHeight="false" outlineLevel="0" collapsed="false">
      <c r="A6" s="15" t="n">
        <v>3</v>
      </c>
      <c r="B6" s="15"/>
      <c r="C6" s="15"/>
      <c r="D6" s="15"/>
      <c r="E6" s="15"/>
      <c r="F6" s="15"/>
      <c r="G6" s="15"/>
      <c r="H6" s="15"/>
      <c r="I6" s="16" t="n">
        <f aca="false">IF(H6="",I5,I5+H6)</f>
        <v>0</v>
      </c>
      <c r="J6" s="15"/>
      <c r="K6" s="15"/>
      <c r="L6" s="15"/>
    </row>
    <row r="7" customFormat="false" ht="15" hidden="false" customHeight="false" outlineLevel="0" collapsed="false">
      <c r="A7" s="17" t="n">
        <v>4</v>
      </c>
      <c r="B7" s="17"/>
      <c r="C7" s="17"/>
      <c r="D7" s="17"/>
      <c r="E7" s="17"/>
      <c r="F7" s="17"/>
      <c r="G7" s="17"/>
      <c r="H7" s="17"/>
      <c r="I7" s="18" t="n">
        <f aca="false">IF(H7="",I6,I6+H7)</f>
        <v>0</v>
      </c>
      <c r="J7" s="17"/>
      <c r="K7" s="17"/>
      <c r="L7" s="17"/>
    </row>
    <row r="8" customFormat="false" ht="15" hidden="false" customHeight="false" outlineLevel="0" collapsed="false">
      <c r="A8" s="15" t="n">
        <v>5</v>
      </c>
      <c r="B8" s="15"/>
      <c r="C8" s="15"/>
      <c r="D8" s="15"/>
      <c r="E8" s="15"/>
      <c r="F8" s="15"/>
      <c r="G8" s="15"/>
      <c r="H8" s="15"/>
      <c r="I8" s="16" t="n">
        <f aca="false">IF(H8="",I7,I7+H8)</f>
        <v>0</v>
      </c>
      <c r="J8" s="15"/>
      <c r="K8" s="15"/>
      <c r="L8" s="15"/>
    </row>
    <row r="9" customFormat="false" ht="15" hidden="false" customHeight="false" outlineLevel="0" collapsed="false">
      <c r="A9" s="17" t="n">
        <v>6</v>
      </c>
      <c r="B9" s="17"/>
      <c r="C9" s="17"/>
      <c r="D9" s="17"/>
      <c r="E9" s="17"/>
      <c r="F9" s="17"/>
      <c r="G9" s="17"/>
      <c r="H9" s="17"/>
      <c r="I9" s="18" t="n">
        <f aca="false">IF(H9="",I8,I8+H9)</f>
        <v>0</v>
      </c>
      <c r="J9" s="17"/>
      <c r="K9" s="17"/>
      <c r="L9" s="17"/>
    </row>
    <row r="10" customFormat="false" ht="15" hidden="false" customHeight="false" outlineLevel="0" collapsed="false">
      <c r="A10" s="15" t="n">
        <v>7</v>
      </c>
      <c r="B10" s="15"/>
      <c r="C10" s="15"/>
      <c r="D10" s="15"/>
      <c r="E10" s="15"/>
      <c r="F10" s="15"/>
      <c r="G10" s="15"/>
      <c r="H10" s="15"/>
      <c r="I10" s="16" t="n">
        <f aca="false">IF(H10="",I9,I9+H10)</f>
        <v>0</v>
      </c>
      <c r="J10" s="15"/>
      <c r="K10" s="15"/>
      <c r="L10" s="15"/>
    </row>
    <row r="11" customFormat="false" ht="15" hidden="false" customHeight="false" outlineLevel="0" collapsed="false">
      <c r="A11" s="17" t="n">
        <v>8</v>
      </c>
      <c r="B11" s="17"/>
      <c r="C11" s="17"/>
      <c r="D11" s="17"/>
      <c r="E11" s="17"/>
      <c r="F11" s="17"/>
      <c r="G11" s="17"/>
      <c r="H11" s="17"/>
      <c r="I11" s="18" t="n">
        <f aca="false">IF(H11="",I10,I10+H11)</f>
        <v>0</v>
      </c>
      <c r="J11" s="17"/>
      <c r="K11" s="17"/>
      <c r="L11" s="17"/>
    </row>
    <row r="12" customFormat="false" ht="15" hidden="false" customHeight="false" outlineLevel="0" collapsed="false">
      <c r="A12" s="15" t="n">
        <v>9</v>
      </c>
      <c r="B12" s="15"/>
      <c r="C12" s="15"/>
      <c r="D12" s="15"/>
      <c r="E12" s="15"/>
      <c r="F12" s="15"/>
      <c r="G12" s="15"/>
      <c r="H12" s="15"/>
      <c r="I12" s="16" t="n">
        <f aca="false">IF(H12="",I11,I11+H12)</f>
        <v>0</v>
      </c>
      <c r="J12" s="15"/>
      <c r="K12" s="15"/>
      <c r="L12" s="15"/>
    </row>
    <row r="13" customFormat="false" ht="15" hidden="false" customHeight="false" outlineLevel="0" collapsed="false">
      <c r="A13" s="17" t="n">
        <v>10</v>
      </c>
      <c r="B13" s="17"/>
      <c r="C13" s="17"/>
      <c r="D13" s="17"/>
      <c r="E13" s="17"/>
      <c r="F13" s="17"/>
      <c r="G13" s="17"/>
      <c r="H13" s="17"/>
      <c r="I13" s="18" t="n">
        <f aca="false">IF(H13="",I12,I12+H13)</f>
        <v>0</v>
      </c>
      <c r="J13" s="17"/>
      <c r="K13" s="17"/>
      <c r="L13" s="17"/>
    </row>
    <row r="14" customFormat="false" ht="15" hidden="false" customHeight="false" outlineLevel="0" collapsed="false">
      <c r="A14" s="15" t="n">
        <v>11</v>
      </c>
      <c r="B14" s="15"/>
      <c r="C14" s="15"/>
      <c r="D14" s="15"/>
      <c r="E14" s="15"/>
      <c r="F14" s="15"/>
      <c r="G14" s="15"/>
      <c r="H14" s="15"/>
      <c r="I14" s="16" t="n">
        <f aca="false">IF(H14="",I13,I13+H14)</f>
        <v>0</v>
      </c>
      <c r="J14" s="15"/>
      <c r="K14" s="15"/>
      <c r="L14" s="15"/>
    </row>
    <row r="15" customFormat="false" ht="15" hidden="false" customHeight="false" outlineLevel="0" collapsed="false">
      <c r="A15" s="17" t="n">
        <v>12</v>
      </c>
      <c r="B15" s="17"/>
      <c r="C15" s="17"/>
      <c r="D15" s="17"/>
      <c r="E15" s="17"/>
      <c r="F15" s="17"/>
      <c r="G15" s="17"/>
      <c r="H15" s="17"/>
      <c r="I15" s="18" t="n">
        <f aca="false">IF(H15="",I14,I14+H15)</f>
        <v>0</v>
      </c>
      <c r="J15" s="17"/>
      <c r="K15" s="17"/>
      <c r="L15" s="17"/>
    </row>
    <row r="16" customFormat="false" ht="15" hidden="false" customHeight="false" outlineLevel="0" collapsed="false">
      <c r="A16" s="15" t="n">
        <v>13</v>
      </c>
      <c r="B16" s="15"/>
      <c r="C16" s="15"/>
      <c r="D16" s="15"/>
      <c r="E16" s="15"/>
      <c r="F16" s="15"/>
      <c r="G16" s="15"/>
      <c r="H16" s="15"/>
      <c r="I16" s="16" t="n">
        <f aca="false">IF(H16="",I15,I15+H16)</f>
        <v>0</v>
      </c>
      <c r="J16" s="15"/>
      <c r="K16" s="15"/>
      <c r="L16" s="15"/>
    </row>
    <row r="17" customFormat="false" ht="15" hidden="false" customHeight="false" outlineLevel="0" collapsed="false">
      <c r="A17" s="17" t="n">
        <v>14</v>
      </c>
      <c r="B17" s="17"/>
      <c r="C17" s="17"/>
      <c r="D17" s="17"/>
      <c r="E17" s="17"/>
      <c r="F17" s="17"/>
      <c r="G17" s="17"/>
      <c r="H17" s="17"/>
      <c r="I17" s="18" t="n">
        <f aca="false">IF(H17="",I16,I16+H17)</f>
        <v>0</v>
      </c>
      <c r="J17" s="17"/>
      <c r="K17" s="17"/>
      <c r="L17" s="17"/>
    </row>
    <row r="18" customFormat="false" ht="15" hidden="false" customHeight="false" outlineLevel="0" collapsed="false">
      <c r="A18" s="15" t="n">
        <v>15</v>
      </c>
      <c r="B18" s="15"/>
      <c r="C18" s="15"/>
      <c r="D18" s="15"/>
      <c r="E18" s="15"/>
      <c r="F18" s="15"/>
      <c r="G18" s="15"/>
      <c r="H18" s="15"/>
      <c r="I18" s="16" t="n">
        <f aca="false">IF(H18="",I17,I17+H18)</f>
        <v>0</v>
      </c>
      <c r="J18" s="15"/>
      <c r="K18" s="15"/>
      <c r="L18" s="15"/>
    </row>
    <row r="19" customFormat="false" ht="15" hidden="false" customHeight="false" outlineLevel="0" collapsed="false">
      <c r="A19" s="17" t="n">
        <v>16</v>
      </c>
      <c r="B19" s="17"/>
      <c r="C19" s="17"/>
      <c r="D19" s="17"/>
      <c r="E19" s="17"/>
      <c r="F19" s="17"/>
      <c r="G19" s="17"/>
      <c r="H19" s="17"/>
      <c r="I19" s="18" t="n">
        <f aca="false">IF(H19="",I18,I18+H19)</f>
        <v>0</v>
      </c>
      <c r="J19" s="17"/>
      <c r="K19" s="17"/>
      <c r="L19" s="17"/>
    </row>
    <row r="20" customFormat="false" ht="15" hidden="false" customHeight="false" outlineLevel="0" collapsed="false">
      <c r="A20" s="15" t="n">
        <v>17</v>
      </c>
      <c r="B20" s="15"/>
      <c r="C20" s="15"/>
      <c r="D20" s="15"/>
      <c r="E20" s="15"/>
      <c r="F20" s="15"/>
      <c r="G20" s="15"/>
      <c r="H20" s="15"/>
      <c r="I20" s="16" t="n">
        <f aca="false">IF(H20="",I19,I19+H20)</f>
        <v>0</v>
      </c>
      <c r="J20" s="15"/>
      <c r="K20" s="15"/>
      <c r="L20" s="15"/>
    </row>
    <row r="21" customFormat="false" ht="15" hidden="false" customHeight="false" outlineLevel="0" collapsed="false">
      <c r="A21" s="17" t="n">
        <v>18</v>
      </c>
      <c r="B21" s="17"/>
      <c r="C21" s="17"/>
      <c r="D21" s="17"/>
      <c r="E21" s="17"/>
      <c r="F21" s="17"/>
      <c r="G21" s="17"/>
      <c r="H21" s="17"/>
      <c r="I21" s="18" t="n">
        <f aca="false">IF(H21="",I20,I20+H21)</f>
        <v>0</v>
      </c>
      <c r="J21" s="17"/>
      <c r="K21" s="17"/>
      <c r="L21" s="17"/>
    </row>
    <row r="22" customFormat="false" ht="15" hidden="false" customHeight="false" outlineLevel="0" collapsed="false">
      <c r="A22" s="15" t="n">
        <v>19</v>
      </c>
      <c r="B22" s="15"/>
      <c r="C22" s="15"/>
      <c r="D22" s="15"/>
      <c r="E22" s="15"/>
      <c r="F22" s="15"/>
      <c r="G22" s="15"/>
      <c r="H22" s="15"/>
      <c r="I22" s="16" t="n">
        <f aca="false">IF(H22="",I21,I21+H22)</f>
        <v>0</v>
      </c>
      <c r="J22" s="15"/>
      <c r="K22" s="15"/>
      <c r="L22" s="15"/>
    </row>
    <row r="23" customFormat="false" ht="15" hidden="false" customHeight="false" outlineLevel="0" collapsed="false">
      <c r="A23" s="17" t="n">
        <v>20</v>
      </c>
      <c r="B23" s="17"/>
      <c r="C23" s="17"/>
      <c r="D23" s="17"/>
      <c r="E23" s="17"/>
      <c r="F23" s="17"/>
      <c r="G23" s="17"/>
      <c r="H23" s="17"/>
      <c r="I23" s="18" t="n">
        <f aca="false">IF(H23="",I22,I22+H23)</f>
        <v>0</v>
      </c>
      <c r="J23" s="17"/>
      <c r="K23" s="17"/>
      <c r="L23" s="17"/>
    </row>
    <row r="25" customFormat="false" ht="15" hidden="false" customHeight="true" outlineLevel="0" collapsed="false">
      <c r="A25" s="19" t="s">
        <v>387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customFormat="false" ht="17.35" hidden="false" customHeight="false" outlineLevel="0" collapsed="false">
      <c r="A26" s="20" t="s">
        <v>388</v>
      </c>
      <c r="B26" s="20"/>
      <c r="C26" s="20"/>
      <c r="D26" s="20"/>
      <c r="E26" s="20"/>
      <c r="F26" s="21" t="n">
        <f aca="false">I23</f>
        <v>0</v>
      </c>
      <c r="G26" s="22"/>
      <c r="H26" s="22"/>
      <c r="I26" s="22"/>
      <c r="J26" s="22"/>
      <c r="K26" s="22"/>
      <c r="L26" s="22"/>
    </row>
    <row r="27" customFormat="false" ht="17.35" hidden="false" customHeight="false" outlineLevel="0" collapsed="false">
      <c r="A27" s="20" t="s">
        <v>389</v>
      </c>
      <c r="B27" s="20"/>
      <c r="C27" s="20"/>
      <c r="D27" s="20"/>
      <c r="E27" s="20"/>
      <c r="F27" s="21"/>
      <c r="G27" s="22" t="s">
        <v>390</v>
      </c>
      <c r="H27" s="22"/>
      <c r="I27" s="22"/>
      <c r="J27" s="22"/>
      <c r="K27" s="22"/>
      <c r="L27" s="22"/>
    </row>
    <row r="28" customFormat="false" ht="17.35" hidden="false" customHeight="false" outlineLevel="0" collapsed="false">
      <c r="A28" s="20" t="s">
        <v>391</v>
      </c>
      <c r="B28" s="20"/>
      <c r="C28" s="20"/>
      <c r="D28" s="20"/>
      <c r="E28" s="20"/>
      <c r="F28" s="21"/>
      <c r="G28" s="22" t="s">
        <v>390</v>
      </c>
      <c r="H28" s="22"/>
      <c r="I28" s="22"/>
      <c r="J28" s="22"/>
      <c r="K28" s="22"/>
      <c r="L28" s="22"/>
    </row>
    <row r="29" customFormat="false" ht="17.35" hidden="false" customHeight="false" outlineLevel="0" collapsed="false">
      <c r="A29" s="20" t="s">
        <v>392</v>
      </c>
      <c r="B29" s="20"/>
      <c r="C29" s="20"/>
      <c r="D29" s="20"/>
      <c r="E29" s="20"/>
      <c r="F29" s="21"/>
      <c r="G29" s="22" t="s">
        <v>393</v>
      </c>
      <c r="H29" s="22"/>
      <c r="I29" s="22"/>
      <c r="J29" s="22"/>
      <c r="K29" s="22"/>
      <c r="L29" s="22"/>
    </row>
  </sheetData>
  <mergeCells count="11">
    <mergeCell ref="A1:L1"/>
    <mergeCell ref="A2:L2"/>
    <mergeCell ref="A25:L25"/>
    <mergeCell ref="A26:E26"/>
    <mergeCell ref="G26:L26"/>
    <mergeCell ref="A27:E27"/>
    <mergeCell ref="G27:L27"/>
    <mergeCell ref="A28:E28"/>
    <mergeCell ref="G28:L28"/>
    <mergeCell ref="A29:E29"/>
    <mergeCell ref="G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C542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8" min="7" style="0" width="1"/>
  </cols>
  <sheetData>
    <row r="1" customFormat="false" ht="34.5" hidden="false" customHeight="true" outlineLevel="0" collapsed="false">
      <c r="A1" s="13" t="s">
        <v>394</v>
      </c>
      <c r="B1" s="13"/>
      <c r="C1" s="13"/>
      <c r="D1" s="13"/>
      <c r="E1" s="13"/>
      <c r="F1" s="13"/>
      <c r="G1" s="13"/>
      <c r="H1" s="13"/>
    </row>
    <row r="2" customFormat="false" ht="21.75" hidden="false" customHeight="true" outlineLevel="0" collapsed="false">
      <c r="A2" s="23" t="s">
        <v>395</v>
      </c>
      <c r="B2" s="23"/>
      <c r="C2" s="23"/>
      <c r="D2" s="23"/>
      <c r="E2" s="23"/>
      <c r="F2" s="23"/>
      <c r="G2" s="23"/>
      <c r="H2" s="23"/>
    </row>
    <row r="4" customFormat="false" ht="15" hidden="false" customHeight="false" outlineLevel="0" collapsed="false">
      <c r="A4" s="24" t="s">
        <v>396</v>
      </c>
      <c r="B4" s="24"/>
      <c r="C4" s="24"/>
      <c r="D4" s="24"/>
    </row>
    <row r="5" customFormat="false" ht="15" hidden="false" customHeight="false" outlineLevel="0" collapsed="false">
      <c r="A5" s="25" t="s">
        <v>397</v>
      </c>
      <c r="B5" s="26" t="n">
        <v>7000</v>
      </c>
      <c r="C5" s="27" t="s">
        <v>398</v>
      </c>
      <c r="D5" s="27"/>
      <c r="E5" s="27"/>
      <c r="F5" s="27"/>
      <c r="G5" s="27"/>
      <c r="H5" s="27"/>
    </row>
    <row r="6" customFormat="false" ht="15" hidden="false" customHeight="false" outlineLevel="0" collapsed="false">
      <c r="A6" s="25" t="s">
        <v>399</v>
      </c>
      <c r="B6" s="26" t="n">
        <v>1200</v>
      </c>
      <c r="C6" s="27" t="s">
        <v>400</v>
      </c>
      <c r="D6" s="27"/>
      <c r="E6" s="27"/>
      <c r="F6" s="27"/>
      <c r="G6" s="27"/>
      <c r="H6" s="27"/>
    </row>
    <row r="7" customFormat="false" ht="15" hidden="false" customHeight="false" outlineLevel="0" collapsed="false">
      <c r="A7" s="25" t="s">
        <v>401</v>
      </c>
      <c r="B7" s="26" t="n">
        <v>5</v>
      </c>
      <c r="C7" s="27" t="s">
        <v>402</v>
      </c>
      <c r="D7" s="27"/>
      <c r="E7" s="27"/>
      <c r="F7" s="27"/>
      <c r="G7" s="27"/>
      <c r="H7" s="27"/>
    </row>
    <row r="8" customFormat="false" ht="15" hidden="false" customHeight="false" outlineLevel="0" collapsed="false">
      <c r="A8" s="25" t="s">
        <v>403</v>
      </c>
      <c r="B8" s="26" t="n">
        <f aca="false">'Race Schedule &amp; Stones'!F26</f>
        <v>0</v>
      </c>
      <c r="C8" s="27" t="s">
        <v>404</v>
      </c>
      <c r="D8" s="27"/>
      <c r="E8" s="27"/>
      <c r="F8" s="27"/>
      <c r="G8" s="27"/>
      <c r="H8" s="27"/>
    </row>
    <row r="10" customFormat="false" ht="15" hidden="false" customHeight="false" outlineLevel="0" collapsed="false">
      <c r="A10" s="28" t="s">
        <v>405</v>
      </c>
      <c r="B10" s="28"/>
      <c r="C10" s="28"/>
      <c r="D10" s="28"/>
    </row>
    <row r="11" customFormat="false" ht="15" hidden="false" customHeight="false" outlineLevel="0" collapsed="false">
      <c r="A11" s="29" t="s">
        <v>406</v>
      </c>
      <c r="B11" s="30" t="n">
        <f aca="false">B5*B7</f>
        <v>35000</v>
      </c>
      <c r="C11" s="27" t="s">
        <v>407</v>
      </c>
      <c r="D11" s="27"/>
      <c r="E11" s="27"/>
      <c r="F11" s="27"/>
      <c r="G11" s="27"/>
      <c r="H11" s="27"/>
    </row>
    <row r="12" customFormat="false" ht="15" hidden="false" customHeight="false" outlineLevel="0" collapsed="false">
      <c r="A12" s="29" t="s">
        <v>408</v>
      </c>
      <c r="B12" s="30" t="str">
        <f aca="false">IF(B8=0,"No stones yet",B8/(B5*B7))</f>
        <v>No stones yet</v>
      </c>
      <c r="C12" s="27" t="s">
        <v>409</v>
      </c>
      <c r="D12" s="27"/>
      <c r="E12" s="27"/>
      <c r="F12" s="27"/>
      <c r="G12" s="27"/>
      <c r="H12" s="27"/>
    </row>
    <row r="13" customFormat="false" ht="15" hidden="false" customHeight="false" outlineLevel="0" collapsed="false">
      <c r="A13" s="29" t="s">
        <v>410</v>
      </c>
      <c r="B13" s="30" t="str">
        <f aca="false">IF(B8=0,"N/A",1-(1-B8/(B5*B7))^B6)</f>
        <v>N/A</v>
      </c>
      <c r="C13" s="27" t="s">
        <v>411</v>
      </c>
      <c r="D13" s="27"/>
      <c r="E13" s="27"/>
      <c r="F13" s="27"/>
      <c r="G13" s="27"/>
      <c r="H13" s="27"/>
    </row>
    <row r="14" customFormat="false" ht="15" hidden="false" customHeight="false" outlineLevel="0" collapsed="false">
      <c r="A14" s="29" t="s">
        <v>412</v>
      </c>
      <c r="B14" s="30" t="str">
        <f aca="false">IF(B8=0,"Need stones!",TEXT(ROUND(1/(1-(1-B8/(B5*B7))^B6),0),"#,##0")&amp;" to 1")</f>
        <v>Need stones!</v>
      </c>
      <c r="C14" s="27" t="s">
        <v>413</v>
      </c>
      <c r="D14" s="27"/>
      <c r="E14" s="27"/>
      <c r="F14" s="27"/>
      <c r="G14" s="27"/>
      <c r="H14" s="27"/>
    </row>
    <row r="15" customFormat="false" ht="15" hidden="false" customHeight="false" outlineLevel="0" collapsed="false">
      <c r="A15" s="29" t="s">
        <v>414</v>
      </c>
      <c r="B15" s="30" t="n">
        <f aca="false">IF(B8=0,0,(1-(1-B8/(B5*B7))^B6)*100)</f>
        <v>0</v>
      </c>
      <c r="C15" s="27" t="s">
        <v>415</v>
      </c>
      <c r="D15" s="27"/>
      <c r="E15" s="27"/>
      <c r="F15" s="27"/>
      <c r="G15" s="27"/>
      <c r="H15" s="27"/>
    </row>
    <row r="18" customFormat="false" ht="15" hidden="false" customHeight="false" outlineLevel="0" collapsed="false">
      <c r="A18" s="31" t="s">
        <v>416</v>
      </c>
      <c r="B18" s="31"/>
      <c r="C18" s="31"/>
      <c r="D18" s="31"/>
      <c r="E18" s="31"/>
      <c r="F18" s="31"/>
      <c r="G18" s="31"/>
      <c r="H18" s="31"/>
    </row>
    <row r="19" customFormat="false" ht="15" hidden="false" customHeight="false" outlineLevel="0" collapsed="false">
      <c r="A19" s="32" t="s">
        <v>417</v>
      </c>
      <c r="B19" s="32" t="s">
        <v>418</v>
      </c>
      <c r="C19" s="32" t="s">
        <v>419</v>
      </c>
      <c r="D19" s="32" t="s">
        <v>420</v>
      </c>
      <c r="E19" s="32" t="s">
        <v>421</v>
      </c>
      <c r="F19" s="32" t="s">
        <v>422</v>
      </c>
    </row>
    <row r="20" customFormat="false" ht="15" hidden="false" customHeight="false" outlineLevel="0" collapsed="false">
      <c r="A20" s="33" t="n">
        <v>2</v>
      </c>
      <c r="B20" s="34" t="n">
        <f aca="false">2/(B$5*B$7)</f>
        <v>5.71428571428571E-005</v>
      </c>
      <c r="C20" s="35" t="n">
        <f aca="false">(1-(1-2/(B$5*B$7))^B$6)*100</f>
        <v>6.62750664574126</v>
      </c>
      <c r="D20" s="36" t="str">
        <f aca="false">ROUND(1/(1-(1-2/(B$5*B$7))^B$6),1)&amp;" to 1"</f>
        <v>15.1 to 1</v>
      </c>
      <c r="E20" s="36" t="s">
        <v>423</v>
      </c>
      <c r="F20" s="37" t="s">
        <v>424</v>
      </c>
    </row>
    <row r="21" customFormat="false" ht="15" hidden="false" customHeight="false" outlineLevel="0" collapsed="false">
      <c r="A21" s="38" t="n">
        <v>3</v>
      </c>
      <c r="B21" s="39" t="n">
        <f aca="false">3/(B$5*B$7)</f>
        <v>8.57142857142857E-005</v>
      </c>
      <c r="C21" s="40" t="n">
        <f aca="false">(1-(1-3/(B$5*B$7))^B$6)*100</f>
        <v>9.77481195403476</v>
      </c>
      <c r="D21" s="41" t="str">
        <f aca="false">ROUND(1/(1-(1-3/(B$5*B$7))^B$6),1)&amp;" to 1"</f>
        <v>10.2 to 1</v>
      </c>
      <c r="E21" s="41" t="s">
        <v>425</v>
      </c>
      <c r="F21" s="42" t="s">
        <v>426</v>
      </c>
    </row>
    <row r="22" customFormat="false" ht="15" hidden="false" customHeight="false" outlineLevel="0" collapsed="false">
      <c r="A22" s="33" t="n">
        <v>4</v>
      </c>
      <c r="B22" s="34" t="n">
        <f aca="false">4/(B$5*B$7)</f>
        <v>0.000114285714285714</v>
      </c>
      <c r="C22" s="35" t="n">
        <f aca="false">(1-(1-4/(B$5*B$7))^B$6)*100</f>
        <v>12.8161165062868</v>
      </c>
      <c r="D22" s="36" t="str">
        <f aca="false">ROUND(1/(1-(1-4/(B$5*B$7))^B$6),1)&amp;" to 1"</f>
        <v>7.8 to 1</v>
      </c>
      <c r="E22" s="36" t="s">
        <v>427</v>
      </c>
      <c r="F22" s="37" t="s">
        <v>428</v>
      </c>
    </row>
    <row r="23" customFormat="false" ht="15" hidden="false" customHeight="false" outlineLevel="0" collapsed="false">
      <c r="A23" s="38" t="n">
        <v>5</v>
      </c>
      <c r="B23" s="39" t="n">
        <f aca="false">5/(B$5*B$7)</f>
        <v>0.000142857142857143</v>
      </c>
      <c r="C23" s="40" t="n">
        <f aca="false">(1-(1-5/(B$5*B$7))^B$6)*100</f>
        <v>15.7549875144735</v>
      </c>
      <c r="D23" s="41" t="str">
        <f aca="false">ROUND(1/(1-(1-5/(B$5*B$7))^B$6),1)&amp;" to 1"</f>
        <v>6.3 to 1</v>
      </c>
      <c r="E23" s="41" t="s">
        <v>429</v>
      </c>
      <c r="F23" s="42" t="s">
        <v>430</v>
      </c>
    </row>
    <row r="24" customFormat="false" ht="15" hidden="false" customHeight="false" outlineLevel="0" collapsed="false">
      <c r="A24" s="43" t="n">
        <v>6</v>
      </c>
      <c r="B24" s="44" t="n">
        <f aca="false">6/(B$5*B$7)</f>
        <v>0.000171428571428571</v>
      </c>
      <c r="C24" s="45" t="n">
        <f aca="false">(1-(1-6/(B$5*B$7))^B$6)*100</f>
        <v>18.5948722411171</v>
      </c>
      <c r="D24" s="46" t="str">
        <f aca="false">ROUND(1/(1-(1-6/(B$5*B$7))^B$6),1)&amp;" to 1"</f>
        <v>5.4 to 1</v>
      </c>
      <c r="E24" s="46" t="s">
        <v>431</v>
      </c>
      <c r="F24" s="47" t="s">
        <v>432</v>
      </c>
    </row>
    <row r="25" customFormat="false" ht="15" hidden="false" customHeight="false" outlineLevel="0" collapsed="false">
      <c r="A25" s="43" t="n">
        <v>7</v>
      </c>
      <c r="B25" s="44" t="n">
        <f aca="false">7/(B$5*B$7)</f>
        <v>0.0002</v>
      </c>
      <c r="C25" s="45" t="n">
        <f aca="false">(1-(1-7/(B$5*B$7))^B$6)*100</f>
        <v>21.3391020293071</v>
      </c>
      <c r="D25" s="46" t="str">
        <f aca="false">ROUND(1/(1-(1-7/(B$5*B$7))^B$6),1)&amp;" to 1"</f>
        <v>4.7 to 1</v>
      </c>
      <c r="E25" s="46" t="s">
        <v>433</v>
      </c>
      <c r="F25" s="47" t="s">
        <v>434</v>
      </c>
    </row>
    <row r="26" customFormat="false" ht="15" hidden="false" customHeight="false" outlineLevel="0" collapsed="false">
      <c r="A26" s="43" t="n">
        <v>8</v>
      </c>
      <c r="B26" s="44" t="n">
        <f aca="false">8/(B$5*B$7)</f>
        <v>0.000228571428571429</v>
      </c>
      <c r="C26" s="45" t="n">
        <f aca="false">(1-(1-8/(B$5*B$7))^B$6)*100</f>
        <v>23.9908961976061</v>
      </c>
      <c r="D26" s="46" t="str">
        <f aca="false">ROUND(1/(1-(1-8/(B$5*B$7))^B$6),1)&amp;" to 1"</f>
        <v>4.2 to 1</v>
      </c>
      <c r="E26" s="46" t="s">
        <v>435</v>
      </c>
      <c r="F26" s="47" t="s">
        <v>436</v>
      </c>
    </row>
    <row r="27" customFormat="false" ht="15" hidden="false" customHeight="false" outlineLevel="0" collapsed="false">
      <c r="A27" s="38" t="n">
        <v>10</v>
      </c>
      <c r="B27" s="39" t="n">
        <f aca="false">10/(B$5*B$7)</f>
        <v>0.000285714285714286</v>
      </c>
      <c r="C27" s="40" t="n">
        <f aca="false">(1-(1-10/(B$5*B$7))^B$6)*100</f>
        <v>29.0295172837876</v>
      </c>
      <c r="D27" s="41" t="str">
        <f aca="false">ROUND(1/(1-(1-10/(B$5*B$7))^B$6),1)&amp;" to 1"</f>
        <v>3.4 to 1</v>
      </c>
      <c r="E27" s="41" t="s">
        <v>437</v>
      </c>
      <c r="F27" s="42" t="s">
        <v>438</v>
      </c>
    </row>
    <row r="28" customFormat="false" ht="15" hidden="false" customHeight="false" outlineLevel="0" collapsed="false">
      <c r="A28" s="33" t="n">
        <v>12</v>
      </c>
      <c r="B28" s="34" t="n">
        <f aca="false">12/(B$5*B$7)</f>
        <v>0.000342857142857143</v>
      </c>
      <c r="C28" s="35" t="n">
        <f aca="false">(1-(1-12/(B$5*B$7))^B$6)*100</f>
        <v>33.7343894653211</v>
      </c>
      <c r="D28" s="36" t="str">
        <f aca="false">ROUND(1/(1-(1-12/(B$5*B$7))^B$6),1)&amp;" to 1"</f>
        <v>3 to 1</v>
      </c>
      <c r="E28" s="36" t="s">
        <v>439</v>
      </c>
      <c r="F28" s="37" t="s">
        <v>440</v>
      </c>
    </row>
    <row r="31" customFormat="false" ht="15" hidden="false" customHeight="false" outlineLevel="0" collapsed="false">
      <c r="A31" s="28" t="s">
        <v>441</v>
      </c>
      <c r="B31" s="28"/>
      <c r="C31" s="28"/>
      <c r="D31" s="28"/>
      <c r="E31" s="28"/>
      <c r="F31" s="28"/>
      <c r="G31" s="28"/>
      <c r="H31" s="28"/>
    </row>
    <row r="32" customFormat="false" ht="15" hidden="false" customHeight="false" outlineLevel="0" collapsed="false">
      <c r="A32" s="48" t="s">
        <v>442</v>
      </c>
      <c r="B32" s="48"/>
      <c r="C32" s="48"/>
      <c r="D32" s="48"/>
      <c r="E32" s="48"/>
      <c r="F32" s="48"/>
      <c r="G32" s="48"/>
      <c r="H32" s="48"/>
    </row>
    <row r="33" customFormat="false" ht="15" hidden="false" customHeight="false" outlineLevel="0" collapsed="false">
      <c r="A33" s="48" t="s">
        <v>443</v>
      </c>
      <c r="B33" s="48"/>
      <c r="C33" s="48"/>
      <c r="D33" s="48"/>
      <c r="E33" s="48"/>
      <c r="F33" s="48"/>
      <c r="G33" s="48"/>
      <c r="H33" s="48"/>
    </row>
    <row r="34" customFormat="false" ht="15" hidden="false" customHeight="false" outlineLevel="0" collapsed="false">
      <c r="A34" s="48" t="s">
        <v>444</v>
      </c>
      <c r="B34" s="48"/>
      <c r="C34" s="48"/>
      <c r="D34" s="48"/>
      <c r="E34" s="48"/>
      <c r="F34" s="48"/>
      <c r="G34" s="48"/>
      <c r="H34" s="48"/>
    </row>
    <row r="35" customFormat="false" ht="1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</row>
    <row r="36" customFormat="false" ht="15" hidden="false" customHeight="false" outlineLevel="0" collapsed="false">
      <c r="A36" s="49" t="s">
        <v>445</v>
      </c>
      <c r="B36" s="49"/>
      <c r="C36" s="49"/>
      <c r="D36" s="49"/>
      <c r="E36" s="49"/>
      <c r="F36" s="49"/>
      <c r="G36" s="49"/>
      <c r="H36" s="49"/>
    </row>
    <row r="37" customFormat="false" ht="15" hidden="false" customHeight="false" outlineLevel="0" collapsed="false">
      <c r="A37" s="48"/>
      <c r="B37" s="48"/>
      <c r="C37" s="48"/>
      <c r="D37" s="48"/>
      <c r="E37" s="48"/>
      <c r="F37" s="48"/>
      <c r="G37" s="48"/>
      <c r="H37" s="48"/>
    </row>
    <row r="38" customFormat="false" ht="15" hidden="false" customHeight="false" outlineLevel="0" collapsed="false">
      <c r="A38" s="49" t="s">
        <v>446</v>
      </c>
      <c r="B38" s="49"/>
      <c r="C38" s="49"/>
      <c r="D38" s="49"/>
      <c r="E38" s="49"/>
      <c r="F38" s="49"/>
      <c r="G38" s="49"/>
      <c r="H38" s="49"/>
    </row>
    <row r="39" customFormat="false" ht="15" hidden="false" customHeight="false" outlineLevel="0" collapsed="false">
      <c r="A39" s="48" t="s">
        <v>447</v>
      </c>
      <c r="B39" s="48"/>
      <c r="C39" s="48"/>
      <c r="D39" s="48"/>
      <c r="E39" s="48"/>
      <c r="F39" s="48"/>
      <c r="G39" s="48"/>
      <c r="H39" s="48"/>
    </row>
    <row r="40" customFormat="false" ht="15" hidden="false" customHeight="false" outlineLevel="0" collapsed="false">
      <c r="A40" s="48" t="s">
        <v>448</v>
      </c>
      <c r="B40" s="48"/>
      <c r="C40" s="48"/>
      <c r="D40" s="48"/>
      <c r="E40" s="48"/>
      <c r="F40" s="48"/>
      <c r="G40" s="48"/>
      <c r="H40" s="48"/>
    </row>
    <row r="41" customFormat="false" ht="15" hidden="false" customHeight="false" outlineLevel="0" collapsed="false">
      <c r="A41" s="48" t="s">
        <v>449</v>
      </c>
      <c r="B41" s="48"/>
      <c r="C41" s="48"/>
      <c r="D41" s="48"/>
      <c r="E41" s="48"/>
      <c r="F41" s="48"/>
      <c r="G41" s="48"/>
      <c r="H41" s="48"/>
    </row>
    <row r="42" customFormat="false" ht="15" hidden="false" customHeight="false" outlineLevel="0" collapsed="false">
      <c r="A42" s="48"/>
      <c r="B42" s="48"/>
      <c r="C42" s="48"/>
      <c r="D42" s="48"/>
      <c r="E42" s="48"/>
      <c r="F42" s="48"/>
      <c r="G42" s="48"/>
      <c r="H42" s="48"/>
    </row>
    <row r="43" customFormat="false" ht="15" hidden="false" customHeight="false" outlineLevel="0" collapsed="false">
      <c r="A43" s="48" t="s">
        <v>450</v>
      </c>
      <c r="B43" s="48"/>
      <c r="C43" s="48"/>
      <c r="D43" s="48"/>
      <c r="E43" s="48"/>
      <c r="F43" s="48"/>
      <c r="G43" s="48"/>
      <c r="H43" s="48"/>
    </row>
  </sheetData>
  <mergeCells count="27">
    <mergeCell ref="A1:H1"/>
    <mergeCell ref="A2:H2"/>
    <mergeCell ref="A4:D4"/>
    <mergeCell ref="C5:H5"/>
    <mergeCell ref="C6:H6"/>
    <mergeCell ref="C7:H7"/>
    <mergeCell ref="C8:H8"/>
    <mergeCell ref="A10:D10"/>
    <mergeCell ref="C11:H11"/>
    <mergeCell ref="C12:H12"/>
    <mergeCell ref="C13:H13"/>
    <mergeCell ref="C14:H14"/>
    <mergeCell ref="C15:H15"/>
    <mergeCell ref="A18:H18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833A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26"/>
  </cols>
  <sheetData>
    <row r="1" customFormat="false" ht="34.5" hidden="false" customHeight="true" outlineLevel="0" collapsed="false">
      <c r="A1" s="13" t="s">
        <v>451</v>
      </c>
      <c r="B1" s="13"/>
      <c r="C1" s="13"/>
      <c r="D1" s="13"/>
      <c r="E1" s="13"/>
      <c r="F1" s="13"/>
    </row>
    <row r="3" customFormat="false" ht="15" hidden="false" customHeight="true" outlineLevel="0" collapsed="false">
      <c r="A3" s="50" t="s">
        <v>452</v>
      </c>
      <c r="B3" s="50"/>
      <c r="C3" s="50"/>
      <c r="D3" s="50"/>
      <c r="E3" s="50"/>
      <c r="F3" s="50"/>
    </row>
    <row r="4" customFormat="false" ht="15" hidden="false" customHeight="false" outlineLevel="0" collapsed="false">
      <c r="A4" s="51"/>
      <c r="B4" s="51" t="s">
        <v>19</v>
      </c>
      <c r="C4" s="51" t="s">
        <v>453</v>
      </c>
      <c r="D4" s="51" t="s">
        <v>454</v>
      </c>
      <c r="E4" s="51" t="s">
        <v>455</v>
      </c>
      <c r="F4" s="51" t="s">
        <v>456</v>
      </c>
    </row>
    <row r="5" customFormat="false" ht="15" hidden="false" customHeight="false" outlineLevel="0" collapsed="false">
      <c r="A5" s="15" t="s">
        <v>457</v>
      </c>
      <c r="B5" s="15" t="s">
        <v>458</v>
      </c>
      <c r="C5" s="15" t="s">
        <v>459</v>
      </c>
      <c r="D5" s="15" t="s">
        <v>55</v>
      </c>
      <c r="E5" s="52" t="s">
        <v>460</v>
      </c>
      <c r="F5" s="15" t="s">
        <v>461</v>
      </c>
    </row>
    <row r="6" customFormat="false" ht="15" hidden="false" customHeight="false" outlineLevel="0" collapsed="false">
      <c r="A6" s="15" t="s">
        <v>462</v>
      </c>
      <c r="B6" s="15" t="s">
        <v>463</v>
      </c>
      <c r="C6" s="15" t="s">
        <v>464</v>
      </c>
      <c r="D6" s="15" t="s">
        <v>73</v>
      </c>
      <c r="E6" s="52" t="s">
        <v>465</v>
      </c>
      <c r="F6" s="15" t="s">
        <v>461</v>
      </c>
    </row>
    <row r="7" customFormat="false" ht="34.5" hidden="false" customHeight="true" outlineLevel="0" collapsed="false">
      <c r="A7" s="53" t="s">
        <v>466</v>
      </c>
      <c r="B7" s="53"/>
      <c r="C7" s="53"/>
      <c r="D7" s="53"/>
      <c r="E7" s="53"/>
      <c r="F7" s="53"/>
    </row>
    <row r="9" customFormat="false" ht="15" hidden="false" customHeight="true" outlineLevel="0" collapsed="false">
      <c r="A9" s="54" t="s">
        <v>467</v>
      </c>
      <c r="B9" s="54"/>
      <c r="C9" s="54"/>
      <c r="D9" s="54"/>
      <c r="E9" s="54"/>
      <c r="F9" s="54"/>
    </row>
    <row r="10" customFormat="false" ht="15" hidden="false" customHeight="false" outlineLevel="0" collapsed="false">
      <c r="A10" s="51"/>
      <c r="B10" s="51" t="s">
        <v>19</v>
      </c>
      <c r="C10" s="51" t="s">
        <v>453</v>
      </c>
      <c r="D10" s="51" t="s">
        <v>454</v>
      </c>
      <c r="E10" s="51" t="s">
        <v>455</v>
      </c>
      <c r="F10" s="51" t="s">
        <v>456</v>
      </c>
    </row>
    <row r="11" customFormat="false" ht="15" hidden="false" customHeight="false" outlineLevel="0" collapsed="false">
      <c r="A11" s="15" t="s">
        <v>457</v>
      </c>
      <c r="B11" s="15" t="s">
        <v>468</v>
      </c>
      <c r="C11" s="15" t="s">
        <v>469</v>
      </c>
      <c r="D11" s="15" t="s">
        <v>39</v>
      </c>
      <c r="E11" s="52" t="s">
        <v>470</v>
      </c>
      <c r="F11" s="15" t="s">
        <v>471</v>
      </c>
    </row>
    <row r="12" customFormat="false" ht="15" hidden="false" customHeight="false" outlineLevel="0" collapsed="false">
      <c r="A12" s="15" t="s">
        <v>462</v>
      </c>
      <c r="B12" s="15" t="s">
        <v>458</v>
      </c>
      <c r="C12" s="15" t="s">
        <v>459</v>
      </c>
      <c r="D12" s="15" t="s">
        <v>55</v>
      </c>
      <c r="E12" s="52" t="s">
        <v>460</v>
      </c>
      <c r="F12" s="15" t="s">
        <v>472</v>
      </c>
    </row>
    <row r="13" customFormat="false" ht="15" hidden="false" customHeight="false" outlineLevel="0" collapsed="false">
      <c r="A13" s="15" t="s">
        <v>473</v>
      </c>
      <c r="B13" s="15" t="s">
        <v>463</v>
      </c>
      <c r="C13" s="15" t="s">
        <v>464</v>
      </c>
      <c r="D13" s="15" t="s">
        <v>73</v>
      </c>
      <c r="E13" s="52" t="s">
        <v>465</v>
      </c>
      <c r="F13" s="15" t="s">
        <v>472</v>
      </c>
    </row>
    <row r="14" customFormat="false" ht="34.5" hidden="false" customHeight="true" outlineLevel="0" collapsed="false">
      <c r="A14" s="53" t="s">
        <v>474</v>
      </c>
      <c r="B14" s="53"/>
      <c r="C14" s="53"/>
      <c r="D14" s="53"/>
      <c r="E14" s="53"/>
      <c r="F14" s="53"/>
    </row>
    <row r="16" customFormat="false" ht="15" hidden="false" customHeight="true" outlineLevel="0" collapsed="false">
      <c r="A16" s="55" t="s">
        <v>475</v>
      </c>
      <c r="B16" s="55"/>
      <c r="C16" s="55"/>
      <c r="D16" s="55"/>
      <c r="E16" s="55"/>
      <c r="F16" s="55"/>
    </row>
    <row r="17" customFormat="false" ht="15" hidden="false" customHeight="false" outlineLevel="0" collapsed="false">
      <c r="A17" s="51"/>
      <c r="B17" s="51" t="s">
        <v>19</v>
      </c>
      <c r="C17" s="51" t="s">
        <v>453</v>
      </c>
      <c r="D17" s="51" t="s">
        <v>454</v>
      </c>
      <c r="E17" s="51" t="s">
        <v>455</v>
      </c>
      <c r="F17" s="51" t="s">
        <v>456</v>
      </c>
    </row>
    <row r="18" customFormat="false" ht="15" hidden="false" customHeight="false" outlineLevel="0" collapsed="false">
      <c r="A18" s="15" t="s">
        <v>457</v>
      </c>
      <c r="B18" s="15" t="s">
        <v>468</v>
      </c>
      <c r="C18" s="15" t="s">
        <v>469</v>
      </c>
      <c r="D18" s="15" t="s">
        <v>39</v>
      </c>
      <c r="E18" s="52" t="s">
        <v>476</v>
      </c>
      <c r="F18" s="15" t="s">
        <v>471</v>
      </c>
    </row>
    <row r="19" customFormat="false" ht="15" hidden="false" customHeight="false" outlineLevel="0" collapsed="false">
      <c r="A19" s="15" t="s">
        <v>462</v>
      </c>
      <c r="B19" s="15" t="s">
        <v>458</v>
      </c>
      <c r="C19" s="15" t="s">
        <v>459</v>
      </c>
      <c r="D19" s="15" t="s">
        <v>55</v>
      </c>
      <c r="E19" s="52" t="s">
        <v>460</v>
      </c>
      <c r="F19" s="15" t="s">
        <v>472</v>
      </c>
    </row>
    <row r="20" customFormat="false" ht="15" hidden="false" customHeight="false" outlineLevel="0" collapsed="false">
      <c r="A20" s="15" t="s">
        <v>473</v>
      </c>
      <c r="B20" s="15" t="s">
        <v>477</v>
      </c>
      <c r="C20" s="15" t="s">
        <v>478</v>
      </c>
      <c r="D20" s="15" t="s">
        <v>479</v>
      </c>
      <c r="E20" s="52" t="s">
        <v>480</v>
      </c>
      <c r="F20" s="15" t="s">
        <v>481</v>
      </c>
    </row>
    <row r="21" customFormat="false" ht="34.5" hidden="false" customHeight="true" outlineLevel="0" collapsed="false">
      <c r="A21" s="53" t="s">
        <v>482</v>
      </c>
      <c r="B21" s="53"/>
      <c r="C21" s="53"/>
      <c r="D21" s="53"/>
      <c r="E21" s="53"/>
      <c r="F21" s="53"/>
    </row>
    <row r="23" customFormat="false" ht="15" hidden="false" customHeight="true" outlineLevel="0" collapsed="false">
      <c r="A23" s="56" t="s">
        <v>483</v>
      </c>
      <c r="B23" s="56"/>
      <c r="C23" s="56"/>
      <c r="D23" s="56"/>
      <c r="E23" s="56"/>
      <c r="F23" s="56"/>
    </row>
    <row r="24" customFormat="false" ht="15" hidden="false" customHeight="false" outlineLevel="0" collapsed="false">
      <c r="A24" s="51"/>
      <c r="B24" s="51" t="s">
        <v>19</v>
      </c>
      <c r="C24" s="51" t="s">
        <v>453</v>
      </c>
      <c r="D24" s="51" t="s">
        <v>454</v>
      </c>
      <c r="E24" s="51" t="s">
        <v>455</v>
      </c>
      <c r="F24" s="51" t="s">
        <v>456</v>
      </c>
    </row>
    <row r="25" customFormat="false" ht="15" hidden="false" customHeight="false" outlineLevel="0" collapsed="false">
      <c r="A25" s="15" t="s">
        <v>457</v>
      </c>
      <c r="B25" s="15" t="s">
        <v>458</v>
      </c>
      <c r="C25" s="15" t="s">
        <v>459</v>
      </c>
      <c r="D25" s="15" t="s">
        <v>55</v>
      </c>
      <c r="E25" s="52" t="s">
        <v>460</v>
      </c>
      <c r="F25" s="15" t="s">
        <v>461</v>
      </c>
    </row>
    <row r="26" customFormat="false" ht="15" hidden="false" customHeight="false" outlineLevel="0" collapsed="false">
      <c r="A26" s="15" t="s">
        <v>462</v>
      </c>
      <c r="B26" s="15" t="s">
        <v>463</v>
      </c>
      <c r="C26" s="15" t="s">
        <v>464</v>
      </c>
      <c r="D26" s="15" t="s">
        <v>73</v>
      </c>
      <c r="E26" s="52" t="s">
        <v>465</v>
      </c>
      <c r="F26" s="15" t="s">
        <v>472</v>
      </c>
    </row>
    <row r="27" customFormat="false" ht="15" hidden="false" customHeight="false" outlineLevel="0" collapsed="false">
      <c r="A27" s="15" t="s">
        <v>473</v>
      </c>
      <c r="B27" s="15" t="s">
        <v>477</v>
      </c>
      <c r="C27" s="15" t="s">
        <v>478</v>
      </c>
      <c r="D27" s="15" t="s">
        <v>479</v>
      </c>
      <c r="E27" s="52" t="s">
        <v>480</v>
      </c>
      <c r="F27" s="15" t="s">
        <v>481</v>
      </c>
    </row>
    <row r="28" customFormat="false" ht="34.5" hidden="false" customHeight="true" outlineLevel="0" collapsed="false">
      <c r="A28" s="53" t="s">
        <v>484</v>
      </c>
      <c r="B28" s="53"/>
      <c r="C28" s="53"/>
      <c r="D28" s="53"/>
      <c r="E28" s="53"/>
      <c r="F28" s="53"/>
    </row>
    <row r="30" customFormat="false" ht="34.5" hidden="false" customHeight="true" outlineLevel="0" collapsed="false">
      <c r="A30" s="57" t="s">
        <v>485</v>
      </c>
      <c r="B30" s="57"/>
      <c r="C30" s="57"/>
      <c r="D30" s="57"/>
      <c r="E30" s="57"/>
      <c r="F30" s="57"/>
    </row>
    <row r="32" customFormat="false" ht="34.5" hidden="false" customHeight="true" outlineLevel="0" collapsed="false">
      <c r="A32" s="58" t="s">
        <v>486</v>
      </c>
      <c r="B32" s="58"/>
      <c r="C32" s="58"/>
      <c r="D32" s="58"/>
      <c r="E32" s="58"/>
      <c r="F32" s="58"/>
    </row>
  </sheetData>
  <mergeCells count="11">
    <mergeCell ref="A1:F1"/>
    <mergeCell ref="A3:F3"/>
    <mergeCell ref="A7:F7"/>
    <mergeCell ref="A9:F9"/>
    <mergeCell ref="A14:F14"/>
    <mergeCell ref="A16:F16"/>
    <mergeCell ref="A21:F21"/>
    <mergeCell ref="A23:F23"/>
    <mergeCell ref="A28:F28"/>
    <mergeCell ref="A30:F30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34.5" hidden="false" customHeight="true" outlineLevel="0" collapsed="false">
      <c r="A1" s="13" t="s">
        <v>487</v>
      </c>
      <c r="B1" s="13"/>
      <c r="C1" s="13"/>
      <c r="D1" s="13"/>
      <c r="E1" s="13"/>
    </row>
    <row r="3" customFormat="false" ht="15" hidden="false" customHeight="false" outlineLevel="0" collapsed="false">
      <c r="A3" s="48"/>
      <c r="B3" s="48"/>
      <c r="C3" s="48"/>
      <c r="D3" s="48"/>
      <c r="E3" s="48"/>
    </row>
    <row r="4" customFormat="false" ht="15" hidden="false" customHeight="false" outlineLevel="0" collapsed="false">
      <c r="A4" s="59" t="s">
        <v>488</v>
      </c>
      <c r="B4" s="59"/>
      <c r="C4" s="59"/>
      <c r="D4" s="59"/>
      <c r="E4" s="59"/>
    </row>
    <row r="5" customFormat="false" ht="15" hidden="false" customHeight="false" outlineLevel="0" collapsed="false">
      <c r="A5" s="48"/>
      <c r="B5" s="48"/>
      <c r="C5" s="48"/>
      <c r="D5" s="48"/>
      <c r="E5" s="48"/>
    </row>
    <row r="6" customFormat="false" ht="15" hidden="false" customHeight="false" outlineLevel="0" collapsed="false">
      <c r="A6" s="60" t="s">
        <v>489</v>
      </c>
      <c r="B6" s="60"/>
      <c r="C6" s="60"/>
      <c r="D6" s="60"/>
      <c r="E6" s="60"/>
    </row>
    <row r="7" customFormat="false" ht="15" hidden="false" customHeight="false" outlineLevel="0" collapsed="false">
      <c r="A7" s="48" t="s">
        <v>490</v>
      </c>
      <c r="B7" s="48"/>
      <c r="C7" s="48"/>
      <c r="D7" s="48"/>
      <c r="E7" s="48"/>
    </row>
    <row r="8" customFormat="false" ht="15" hidden="false" customHeight="false" outlineLevel="0" collapsed="false">
      <c r="A8" s="48" t="s">
        <v>491</v>
      </c>
      <c r="B8" s="48"/>
      <c r="C8" s="48"/>
      <c r="D8" s="48"/>
      <c r="E8" s="48"/>
    </row>
    <row r="9" customFormat="false" ht="15" hidden="false" customHeight="false" outlineLevel="0" collapsed="false">
      <c r="A9" s="48" t="s">
        <v>492</v>
      </c>
      <c r="B9" s="48"/>
      <c r="C9" s="48"/>
      <c r="D9" s="48"/>
      <c r="E9" s="48"/>
    </row>
    <row r="10" customFormat="false" ht="15" hidden="false" customHeight="false" outlineLevel="0" collapsed="false">
      <c r="A10" s="48" t="s">
        <v>493</v>
      </c>
      <c r="B10" s="48"/>
      <c r="C10" s="48"/>
      <c r="D10" s="48"/>
      <c r="E10" s="48"/>
    </row>
    <row r="11" customFormat="false" ht="15" hidden="false" customHeight="false" outlineLevel="0" collapsed="false">
      <c r="A11" s="48" t="s">
        <v>494</v>
      </c>
      <c r="B11" s="48"/>
      <c r="C11" s="48"/>
      <c r="D11" s="48"/>
      <c r="E11" s="48"/>
    </row>
    <row r="12" customFormat="false" ht="15" hidden="false" customHeight="false" outlineLevel="0" collapsed="false">
      <c r="A12" s="48" t="s">
        <v>495</v>
      </c>
      <c r="B12" s="48"/>
      <c r="C12" s="48"/>
      <c r="D12" s="48"/>
      <c r="E12" s="48"/>
    </row>
    <row r="13" customFormat="false" ht="15" hidden="false" customHeight="false" outlineLevel="0" collapsed="false">
      <c r="A13" s="48" t="s">
        <v>496</v>
      </c>
      <c r="B13" s="48"/>
      <c r="C13" s="48"/>
      <c r="D13" s="48"/>
      <c r="E13" s="48"/>
    </row>
    <row r="14" customFormat="false" ht="15" hidden="false" customHeight="false" outlineLevel="0" collapsed="false">
      <c r="A14" s="48"/>
      <c r="B14" s="48"/>
      <c r="C14" s="48"/>
      <c r="D14" s="48"/>
      <c r="E14" s="48"/>
    </row>
    <row r="15" customFormat="false" ht="15" hidden="false" customHeight="false" outlineLevel="0" collapsed="false">
      <c r="A15" s="60" t="s">
        <v>497</v>
      </c>
      <c r="B15" s="60"/>
      <c r="C15" s="60"/>
      <c r="D15" s="60"/>
      <c r="E15" s="60"/>
    </row>
    <row r="16" customFormat="false" ht="15" hidden="false" customHeight="false" outlineLevel="0" collapsed="false">
      <c r="A16" s="48" t="s">
        <v>498</v>
      </c>
      <c r="B16" s="48"/>
      <c r="C16" s="48"/>
      <c r="D16" s="48"/>
      <c r="E16" s="48"/>
    </row>
    <row r="17" customFormat="false" ht="15" hidden="false" customHeight="false" outlineLevel="0" collapsed="false">
      <c r="A17" s="48" t="s">
        <v>499</v>
      </c>
      <c r="B17" s="48"/>
      <c r="C17" s="48"/>
      <c r="D17" s="48"/>
      <c r="E17" s="48"/>
    </row>
    <row r="18" customFormat="false" ht="15" hidden="false" customHeight="false" outlineLevel="0" collapsed="false">
      <c r="A18" s="48" t="s">
        <v>500</v>
      </c>
      <c r="B18" s="48"/>
      <c r="C18" s="48"/>
      <c r="D18" s="48"/>
      <c r="E18" s="48"/>
    </row>
    <row r="19" customFormat="false" ht="15" hidden="false" customHeight="false" outlineLevel="0" collapsed="false">
      <c r="A19" s="48" t="s">
        <v>501</v>
      </c>
      <c r="B19" s="48"/>
      <c r="C19" s="48"/>
      <c r="D19" s="48"/>
      <c r="E19" s="48"/>
    </row>
    <row r="20" customFormat="false" ht="15" hidden="false" customHeight="false" outlineLevel="0" collapsed="false">
      <c r="A20" s="48" t="s">
        <v>502</v>
      </c>
      <c r="B20" s="48"/>
      <c r="C20" s="48"/>
      <c r="D20" s="48"/>
      <c r="E20" s="48"/>
    </row>
    <row r="21" customFormat="false" ht="15" hidden="false" customHeight="false" outlineLevel="0" collapsed="false">
      <c r="A21" s="48"/>
      <c r="B21" s="48"/>
      <c r="C21" s="48"/>
      <c r="D21" s="48"/>
      <c r="E21" s="48"/>
    </row>
    <row r="22" customFormat="false" ht="15" hidden="false" customHeight="false" outlineLevel="0" collapsed="false">
      <c r="A22" s="59" t="s">
        <v>503</v>
      </c>
      <c r="B22" s="59"/>
      <c r="C22" s="59"/>
      <c r="D22" s="59"/>
      <c r="E22" s="59"/>
    </row>
    <row r="23" customFormat="false" ht="15" hidden="false" customHeight="false" outlineLevel="0" collapsed="false">
      <c r="A23" s="48" t="s">
        <v>504</v>
      </c>
      <c r="B23" s="48"/>
      <c r="C23" s="48"/>
      <c r="D23" s="48"/>
      <c r="E23" s="48"/>
    </row>
    <row r="24" customFormat="false" ht="15" hidden="false" customHeight="false" outlineLevel="0" collapsed="false">
      <c r="A24" s="48" t="s">
        <v>505</v>
      </c>
      <c r="B24" s="48"/>
      <c r="C24" s="48"/>
      <c r="D24" s="48"/>
      <c r="E24" s="48"/>
    </row>
    <row r="25" customFormat="false" ht="15" hidden="false" customHeight="false" outlineLevel="0" collapsed="false">
      <c r="A25" s="48" t="s">
        <v>506</v>
      </c>
      <c r="B25" s="48"/>
      <c r="C25" s="48"/>
      <c r="D25" s="48"/>
      <c r="E25" s="48"/>
    </row>
    <row r="26" customFormat="false" ht="15" hidden="false" customHeight="false" outlineLevel="0" collapsed="false">
      <c r="A26" s="48" t="s">
        <v>507</v>
      </c>
      <c r="B26" s="48"/>
      <c r="C26" s="48"/>
      <c r="D26" s="48"/>
      <c r="E26" s="48"/>
    </row>
    <row r="27" customFormat="false" ht="15" hidden="false" customHeight="false" outlineLevel="0" collapsed="false">
      <c r="A27" s="48" t="s">
        <v>508</v>
      </c>
      <c r="B27" s="48"/>
      <c r="C27" s="48"/>
      <c r="D27" s="48"/>
      <c r="E27" s="48"/>
    </row>
    <row r="28" customFormat="false" ht="15" hidden="false" customHeight="false" outlineLevel="0" collapsed="false">
      <c r="A28" s="48" t="s">
        <v>509</v>
      </c>
      <c r="B28" s="48"/>
      <c r="C28" s="48"/>
      <c r="D28" s="48"/>
      <c r="E28" s="48"/>
    </row>
    <row r="29" customFormat="false" ht="15" hidden="false" customHeight="false" outlineLevel="0" collapsed="false">
      <c r="A29" s="48" t="s">
        <v>510</v>
      </c>
      <c r="B29" s="48"/>
      <c r="C29" s="48"/>
      <c r="D29" s="48"/>
      <c r="E29" s="48"/>
    </row>
    <row r="30" customFormat="false" ht="15" hidden="false" customHeight="false" outlineLevel="0" collapsed="false">
      <c r="A30" s="48"/>
      <c r="B30" s="48"/>
      <c r="C30" s="48"/>
      <c r="D30" s="48"/>
      <c r="E30" s="48"/>
    </row>
    <row r="31" customFormat="false" ht="15" hidden="false" customHeight="false" outlineLevel="0" collapsed="false">
      <c r="A31" s="59" t="s">
        <v>511</v>
      </c>
      <c r="B31" s="59"/>
      <c r="C31" s="59"/>
      <c r="D31" s="59"/>
      <c r="E31" s="59"/>
    </row>
    <row r="32" customFormat="false" ht="15" hidden="false" customHeight="false" outlineLevel="0" collapsed="false">
      <c r="A32" s="48" t="s">
        <v>512</v>
      </c>
      <c r="B32" s="48"/>
      <c r="C32" s="48"/>
      <c r="D32" s="48"/>
      <c r="E32" s="48"/>
    </row>
    <row r="33" customFormat="false" ht="15" hidden="false" customHeight="false" outlineLevel="0" collapsed="false">
      <c r="A33" s="48" t="s">
        <v>513</v>
      </c>
      <c r="B33" s="48"/>
      <c r="C33" s="48"/>
      <c r="D33" s="48"/>
      <c r="E33" s="48"/>
    </row>
    <row r="34" customFormat="false" ht="15" hidden="false" customHeight="false" outlineLevel="0" collapsed="false">
      <c r="A34" s="48" t="s">
        <v>514</v>
      </c>
      <c r="B34" s="48"/>
      <c r="C34" s="48"/>
      <c r="D34" s="48"/>
      <c r="E34" s="48"/>
    </row>
    <row r="35" customFormat="false" ht="15" hidden="false" customHeight="false" outlineLevel="0" collapsed="false">
      <c r="A35" s="48" t="s">
        <v>515</v>
      </c>
      <c r="B35" s="48"/>
      <c r="C35" s="48"/>
      <c r="D35" s="48"/>
      <c r="E35" s="48"/>
    </row>
    <row r="36" customFormat="false" ht="15" hidden="false" customHeight="false" outlineLevel="0" collapsed="false">
      <c r="A36" s="48"/>
      <c r="B36" s="48"/>
      <c r="C36" s="48"/>
      <c r="D36" s="48"/>
      <c r="E36" s="48"/>
    </row>
    <row r="37" customFormat="false" ht="15" hidden="false" customHeight="false" outlineLevel="0" collapsed="false">
      <c r="A37" s="59" t="s">
        <v>516</v>
      </c>
      <c r="B37" s="59"/>
      <c r="C37" s="59"/>
      <c r="D37" s="59"/>
      <c r="E37" s="59"/>
    </row>
    <row r="38" customFormat="false" ht="15" hidden="false" customHeight="false" outlineLevel="0" collapsed="false">
      <c r="A38" s="48" t="s">
        <v>517</v>
      </c>
      <c r="B38" s="48"/>
      <c r="C38" s="48"/>
      <c r="D38" s="48"/>
      <c r="E38" s="48"/>
    </row>
    <row r="39" customFormat="false" ht="15" hidden="false" customHeight="false" outlineLevel="0" collapsed="false">
      <c r="A39" s="48" t="s">
        <v>518</v>
      </c>
      <c r="B39" s="48"/>
      <c r="C39" s="48"/>
      <c r="D39" s="48"/>
      <c r="E39" s="48"/>
    </row>
    <row r="40" customFormat="false" ht="15" hidden="false" customHeight="false" outlineLevel="0" collapsed="false">
      <c r="A40" s="48" t="s">
        <v>519</v>
      </c>
      <c r="B40" s="48"/>
      <c r="C40" s="48"/>
      <c r="D40" s="48"/>
      <c r="E40" s="48"/>
    </row>
    <row r="41" customFormat="false" ht="15" hidden="false" customHeight="false" outlineLevel="0" collapsed="false">
      <c r="A41" s="48" t="s">
        <v>520</v>
      </c>
      <c r="B41" s="48"/>
      <c r="C41" s="48"/>
      <c r="D41" s="48"/>
      <c r="E41" s="48"/>
    </row>
  </sheetData>
  <mergeCells count="40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2026-03-03T07:24:21Z</dcterms:created>
  <dc:creator>openpyxl</dc:creator>
  <dc:description/>
  <dc:language>en-US</dc:language>
  <cp:lastModifiedBy/>
  <dcterms:modified xsi:type="dcterms:W3CDTF">2026-03-03T07:24:21Z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